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31acd4a63543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link_Valuation" sheetId="1" r:id="R8ee5ecac12834630"/>
    <x:sheet xmlns:r="http://schemas.openxmlformats.org/officeDocument/2006/relationships" name="Lockup_Calendar" sheetId="2" r:id="R638cb18fb61e4c59"/>
    <x:sheet xmlns:r="http://schemas.openxmlformats.org/officeDocument/2006/relationships" name="Model_Review" sheetId="3" r:id="Raf3a54e6cb634fa1"/>
    <x:sheet xmlns:r="http://schemas.openxmlformats.org/officeDocument/2006/relationships" name="Corrected_Valuation" sheetId="4" r:id="Rd3b2889a312645b1"/>
    <x:sheet xmlns:r="http://schemas.openxmlformats.org/officeDocument/2006/relationships" name="Calendar_Audit" sheetId="5" r:id="R11f52c6472884d91"/>
    <x:sheet xmlns:r="http://schemas.openxmlformats.org/officeDocument/2006/relationships" name="Sources" sheetId="6" r:id="R79087a621b544ecf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B5" authorId="0">
      <x:text>
        <x:r>
          <x:t>Source: SpaceX S-1/A, FWP, 2026 (Q1 2026 ~10.3M)</x:t>
        </x:r>
      </x:text>
    </x:comment>
    <x:comment ref="B6" authorId="0">
      <x:text>
        <x:r>
          <x:t>Source: SpaceX S-1/A (Q1 2026 ~$66, 하락 추세)</x:t>
        </x:r>
      </x:text>
    </x:comment>
    <x:comment ref="B7" authorId="0">
      <x:text>
        <x:r>
          <x:t>Source: 2025 Connectivity 중 비소비자 ~$4.2B</x:t>
        </x:r>
      </x:text>
    </x:comment>
    <x:comment ref="B8" authorId="0">
      <x:text>
        <x:r>
          <x:t>Source: S-1/A Connectivity seg. adj. EBITDA 마진 63%</x:t>
        </x:r>
      </x:text>
    </x:comment>
    <x:comment ref="B9" authorId="0">
      <x:text>
        <x:r>
          <x:t>가정값 — 통신 10~20x / 고성장 25~30x</x:t>
        </x:r>
      </x:text>
    </x:comment>
    <x:comment ref="B10" authorId="0">
      <x:text>
        <x:r>
          <x:t>Source: FWP 상장후 총주식 13,090,853,965</x:t>
        </x:r>
      </x:text>
    </x:comment>
    <x:comment ref="B11" authorId="0">
      <x:text>
        <x:r>
          <x:t>Source: FWP 고정 공모가 $135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<x:sst xmlns:x="http://schemas.openxmlformats.org/spreadsheetml/2006/main">
  <x:si>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sz val="13"/>
        <x:rFont val="Arial"/>
      </x:rPr>
      <x:t xml:space="preserve">SPCX — Starlink </x:t>
    </x:r>
    <x:r>
      <x:rPr>
        <x:b/>
        <x:sz val="13"/>
        <x:rFont val="Noto Sans CJK SC"/>
        <x:family val="2"/>
      </x:rPr>
      <x:t xml:space="preserve">단독 밸류에이션 모델</x:t>
    </x:r>
  </x:si>
  <x:si>
    <x:r>
      <x:rPr>
        <x:i/>
        <x:sz val="9"/>
        <x:color rgb="FF555555"/>
        <x:rFont val="Noto Sans CJK SC"/>
        <x:family val="2"/>
      </x:rPr>
      <x:t xml:space="preserve">파란</x:t>
    </x:r>
    <x:r>
      <x:rPr>
        <x:i/>
        <x:sz val="9"/>
        <x:color rgb="FF555555"/>
        <x:rFont val="Arial"/>
      </x:rPr>
      <x:t xml:space="preserve">/</x:t>
    </x:r>
    <x:r>
      <x:rPr>
        <x:i/>
        <x:sz val="9"/>
        <x:color rgb="FF555555"/>
        <x:rFont val="Noto Sans CJK SC"/>
        <x:family val="2"/>
      </x:rPr>
      <x:t xml:space="preserve">노란 셀</x:t>
    </x:r>
    <x:r>
      <x:rPr>
        <x:i/>
        <x:sz val="9"/>
        <x:color rgb="FF555555"/>
        <x:rFont val="Arial"/>
      </x:rPr>
      <x:t xml:space="preserve">(</x:t>
    </x:r>
    <x:r>
      <x:rPr>
        <x:i/>
        <x:sz val="9"/>
        <x:color rgb="FF555555"/>
        <x:rFont val="Noto Sans CJK SC"/>
        <x:family val="2"/>
      </x:rPr>
      <x:t xml:space="preserve">입력값</x:t>
    </x:r>
    <x:r>
      <x:rPr>
        <x:i/>
        <x:sz val="9"/>
        <x:color rgb="FF555555"/>
        <x:rFont val="Arial"/>
      </x:rPr>
      <x:t xml:space="preserve">)</x:t>
    </x:r>
    <x:r>
      <x:rPr>
        <x:i/>
        <x:sz val="9"/>
        <x:color rgb="FF555555"/>
        <x:rFont val="Noto Sans CJK SC"/>
        <x:family val="2"/>
      </x:rPr>
      <x:t xml:space="preserve">을 바꾸면 모든 결과가 실시간 재계산됩니다</x:t>
    </x:r>
    <x:r>
      <x:rPr>
        <x:i/>
        <x:sz val="9"/>
        <x:color rgb="FF555555"/>
        <x:rFont val="Arial"/>
      </x:rPr>
      <x:t xml:space="preserve">. </x:t>
    </x:r>
    <x:r>
      <x:rPr>
        <x:i/>
        <x:sz val="9"/>
        <x:color rgb="FF555555"/>
        <x:rFont val="Noto Sans CJK SC"/>
        <x:family val="2"/>
      </x:rPr>
      <x:t xml:space="preserve">단위</x:t>
    </x:r>
    <x:r>
      <x:rPr>
        <x:i/>
        <x:sz val="9"/>
        <x:color rgb="FF555555"/>
        <x:rFont val="Arial"/>
      </x:rPr>
      <x:t xml:space="preserve">: </x:t>
    </x:r>
    <x:r>
      <x:rPr>
        <x:i/>
        <x:sz val="9"/>
        <x:color rgb="FF555555"/>
        <x:rFont val="Noto Sans CJK SC"/>
        <x:family val="2"/>
      </x:rPr>
      <x:t xml:space="preserve">가입자 </x:t>
    </x:r>
    <x:r>
      <x:rPr>
        <x:i/>
        <x:sz val="9"/>
        <x:color rgb="FF555555"/>
        <x:rFont val="Arial"/>
      </x:rPr>
      <x:t xml:space="preserve">M(</x:t>
    </x:r>
    <x:r>
      <x:rPr>
        <x:i/>
        <x:sz val="9"/>
        <x:color rgb="FF555555"/>
        <x:rFont val="Noto Sans CJK SC"/>
        <x:family val="2"/>
      </x:rPr>
      <x:t xml:space="preserve">백만</x:t>
    </x:r>
    <x:r>
      <x:rPr>
        <x:i/>
        <x:sz val="9"/>
        <x:color rgb="FF555555"/>
        <x:rFont val="Arial"/>
      </x:rPr>
      <x:t xml:space="preserve">), ARPU $/</x:t>
    </x:r>
    <x:r>
      <x:rPr>
        <x:i/>
        <x:sz val="9"/>
        <x:color rgb="FF555555"/>
        <x:rFont val="Noto Sans CJK SC"/>
        <x:family val="2"/>
      </x:rPr>
      <x:t xml:space="preserve">월</x:t>
    </x:r>
    <x:r>
      <x:rPr>
        <x:i/>
        <x:sz val="9"/>
        <x:color rgb="FF555555"/>
        <x:rFont val="Arial"/>
      </x:rPr>
      <x:t xml:space="preserve">, </x:t>
    </x:r>
    <x:r>
      <x:rPr>
        <x:i/>
        <x:sz val="9"/>
        <x:color rgb="FF555555"/>
        <x:rFont val="Noto Sans CJK SC"/>
        <x:family val="2"/>
      </x:rPr>
      <x:t xml:space="preserve">매출</x:t>
    </x:r>
    <x:r>
      <x:rPr>
        <x:i/>
        <x:sz val="9"/>
        <x:color rgb="FF555555"/>
        <x:rFont val="Arial"/>
      </x:rPr>
      <x:t xml:space="preserve">·EBITDA·EV $B(</x:t>
    </x:r>
    <x:r>
      <x:rPr>
        <x:i/>
        <x:sz val="9"/>
        <x:color rgb="FF555555"/>
        <x:rFont val="Noto Sans CJK SC"/>
        <x:family val="2"/>
      </x:rPr>
      <x:t xml:space="preserve">십억</x:t>
    </x:r>
    <x:r>
      <x:rPr>
        <x:i/>
        <x:sz val="9"/>
        <x:color rgb="FF555555"/>
        <x:rFont val="Arial"/>
      </x:rPr>
      <x:t xml:space="preserve">), </x:t>
    </x:r>
    <x:r>
      <x:rPr>
        <x:i/>
        <x:sz val="9"/>
        <x:color rgb="FF555555"/>
        <x:rFont val="Noto Sans CJK SC"/>
        <x:family val="2"/>
      </x:rPr>
      <x:t xml:space="preserve">주식수 </x:t>
    </x:r>
    <x:r>
      <x:rPr>
        <x:i/>
        <x:sz val="9"/>
        <x:color rgb="FF555555"/>
        <x:rFont val="Arial"/>
      </x:rPr>
      <x:t xml:space="preserve">B(</x:t>
    </x:r>
    <x:r>
      <x:rPr>
        <x:i/>
        <x:sz val="9"/>
        <x:color rgb="FF555555"/>
        <x:rFont val="Noto Sans CJK SC"/>
        <x:family val="2"/>
      </x:rPr>
      <x:t xml:space="preserve">십억</x:t>
    </x:r>
    <x:r>
      <x:rPr>
        <x:i/>
        <x:sz val="9"/>
        <x:color rgb="FF555555"/>
        <x:rFont val="Arial"/>
      </x:rPr>
      <x:t xml:space="preserve">).</x:t>
    </x:r>
  </x:si>
  <x:si>
    <x:r>
      <x:rPr>
        <x:b/>
        <x:sz val="10"/>
        <x:color rgb="FFFFFFFF"/>
        <x:rFont val="Arial"/>
      </x:rPr>
      <x:t xml:space="preserve">INPUTS  (</x:t>
    </x:r>
    <x:r>
      <x:rPr>
        <x:b/>
        <x:sz val="10"/>
        <x:color rgb="FFFFFFFF"/>
        <x:rFont val="Noto Sans CJK SC"/>
        <x:family val="2"/>
      </x:rPr>
      <x:t xml:space="preserve">수정 가능</x:t>
    </x:r>
    <x:r>
      <x:rPr>
        <x:b/>
        <x:sz val="10"/>
        <x:color rgb="FFFFFFFF"/>
        <x:rFont val="Arial"/>
      </x:rPr>
      <x:t xml:space="preserve">)</x:t>
    </x:r>
  </x:si>
  <x:si>
    <x:r>
      <x:rPr>
        <x:sz val="10"/>
        <x:color rgb="FF000000"/>
        <x:rFont val="Noto Sans CJK SC"/>
        <x:family val="2"/>
      </x:rPr>
      <x:t xml:space="preserve">가입자 </x:t>
    </x:r>
    <x:r>
      <x:rPr>
        <x:sz val="10"/>
        <x:color rgb="FF000000"/>
        <x:rFont val="Arial"/>
      </x:rPr>
      <x:t xml:space="preserve">(M)</x:t>
    </x:r>
  </x:si>
  <x:si>
    <x:r>
      <x:rPr>
        <x:sz val="10"/>
        <x:color rgb="FF000000"/>
        <x:rFont val="Arial"/>
      </x:rPr>
      <x:t xml:space="preserve">ARPU ($/</x:t>
    </x:r>
    <x:r>
      <x:rPr>
        <x:sz val="10"/>
        <x:color rgb="FF000000"/>
        <x:rFont val="Noto Sans CJK SC"/>
        <x:family val="2"/>
      </x:rPr>
      <x:t xml:space="preserve">월</x:t>
    </x:r>
    <x:r>
      <x:rPr>
        <x:sz val="10"/>
        <x:color rgb="FF000000"/>
        <x:rFont val="Arial"/>
      </x:rPr>
      <x:t xml:space="preserve">)</x:t>
    </x:r>
  </x:si>
  <x:si>
    <x:r>
      <x:rPr>
        <x:sz val="10"/>
        <x:color rgb="FF000000"/>
        <x:rFont val="Noto Sans CJK SC"/>
        <x:family val="2"/>
      </x:rPr>
      <x:t xml:space="preserve">기타매출 </x:t>
    </x:r>
    <x:r>
      <x:rPr>
        <x:sz val="10"/>
        <x:color rgb="FF000000"/>
        <x:rFont val="Arial"/>
      </x:rPr>
      <x:t xml:space="preserve">enterprise/gov ($B/</x:t>
    </x:r>
    <x:r>
      <x:rPr>
        <x:sz val="10"/>
        <x:color rgb="FF000000"/>
        <x:rFont val="Noto Sans CJK SC"/>
        <x:family val="2"/>
      </x:rPr>
      <x:t xml:space="preserve">년</x:t>
    </x:r>
    <x:r>
      <x:rPr>
        <x:sz val="10"/>
        <x:color rgb="FF000000"/>
        <x:rFont val="Arial"/>
      </x:rPr>
      <x:t xml:space="preserve">)</x:t>
    </x:r>
  </x:si>
  <x:si>
    <x:r>
      <x:rPr>
        <x:sz val="10"/>
        <x:color rgb="FF000000"/>
        <x:rFont val="Arial"/>
      </x:rPr>
      <x:t xml:space="preserve">EBITDA </x:t>
    </x:r>
    <x:r>
      <x:rPr>
        <x:sz val="10"/>
        <x:color rgb="FF000000"/>
        <x:rFont val="Noto Sans CJK SC"/>
        <x:family val="2"/>
      </x:rPr>
      <x:t xml:space="preserve">마진 </x:t>
    </x:r>
    <x:r>
      <x:rPr>
        <x:sz val="10"/>
        <x:color rgb="FF000000"/>
        <x:rFont val="Arial"/>
      </x:rPr>
      <x:t xml:space="preserve">(%)</x:t>
    </x:r>
  </x:si>
  <x:si>
    <x:r>
      <x:rPr>
        <x:sz val="10"/>
        <x:color rgb="FF000000"/>
        <x:rFont val="Arial"/>
      </x:rPr>
      <x:t xml:space="preserve">EV/EBITDA </x:t>
    </x:r>
    <x:r>
      <x:rPr>
        <x:sz val="10"/>
        <x:color rgb="FF000000"/>
        <x:rFont val="Noto Sans CJK SC"/>
        <x:family val="2"/>
      </x:rPr>
      <x:t xml:space="preserve">멀티플 </x:t>
    </x:r>
    <x:r>
      <x:rPr>
        <x:sz val="10"/>
        <x:color rgb="FF000000"/>
        <x:rFont val="Arial"/>
      </x:rPr>
      <x:t xml:space="preserve">(x)</x:t>
    </x:r>
  </x:si>
  <x:si>
    <x:r>
      <x:rPr>
        <x:sz val="10"/>
        <x:color rgb="FF000000"/>
        <x:rFont val="Noto Sans CJK SC"/>
        <x:family val="2"/>
      </x:rPr>
      <x:t xml:space="preserve">총 완전희석 주식수 </x:t>
    </x:r>
    <x:r>
      <x:rPr>
        <x:sz val="10"/>
        <x:color rgb="FF000000"/>
        <x:rFont val="Arial"/>
      </x:rPr>
      <x:t xml:space="preserve">(B)</x:t>
    </x:r>
  </x:si>
  <x:si>
    <x:r>
      <x:rPr>
        <x:sz val="10"/>
        <x:color rgb="FF000000"/>
        <x:rFont val="Arial"/>
      </x:rPr>
      <x:t xml:space="preserve">SPCX </x:t>
    </x:r>
    <x:r>
      <x:rPr>
        <x:sz val="10"/>
        <x:color rgb="FF000000"/>
        <x:rFont val="Noto Sans CJK SC"/>
        <x:family val="2"/>
      </x:rPr>
      <x:t xml:space="preserve">가격 </x:t>
    </x:r>
    <x:r>
      <x:rPr>
        <x:sz val="10"/>
        <x:color rgb="FF000000"/>
        <x:rFont val="Arial"/>
      </x:rPr>
      <x:t xml:space="preserve">($)</x:t>
    </x:r>
  </x:si>
  <x:si>
    <x:r>
      <x:rPr>
        <x:b/>
        <x:sz val="10"/>
        <x:color rgb="FFFFFFFF"/>
        <x:rFont val="Noto Sans CJK SC"/>
        <x:family val="2"/>
      </x:rPr>
      <x:t xml:space="preserve">현재 입력값 기준 </x:t>
    </x:r>
    <x:r>
      <x:rPr>
        <x:b/>
        <x:sz val="10"/>
        <x:color rgb="FFFFFFFF"/>
        <x:rFont val="Arial"/>
      </x:rPr>
      <x:t xml:space="preserve">Starlink </x:t>
    </x:r>
    <x:r>
      <x:rPr>
        <x:b/>
        <x:sz val="10"/>
        <x:color rgb="FFFFFFFF"/>
        <x:rFont val="Noto Sans CJK SC"/>
        <x:family val="2"/>
      </x:rPr>
      <x:t xml:space="preserve">단독 가치</x:t>
    </x:r>
  </x:si>
  <x:si>
    <x:r>
      <x:rPr>
        <x:sz val="10"/>
        <x:color rgb="FF000000"/>
        <x:rFont val="Noto Sans CJK SC"/>
        <x:family val="2"/>
      </x:rPr>
      <x:t xml:space="preserve">소비자 매출 </x:t>
    </x:r>
    <x:r>
      <x:rPr>
        <x:sz val="10"/>
        <x:color rgb="FF000000"/>
        <x:rFont val="Arial"/>
      </x:rPr>
      <x:t xml:space="preserve">($B/</x:t>
    </x:r>
    <x:r>
      <x:rPr>
        <x:sz val="10"/>
        <x:color rgb="FF000000"/>
        <x:rFont val="Noto Sans CJK SC"/>
        <x:family val="2"/>
      </x:rPr>
      <x:t xml:space="preserve">년</x:t>
    </x:r>
    <x:r>
      <x:rPr>
        <x:sz val="10"/>
        <x:color rgb="FF000000"/>
        <x:rFont val="Arial"/>
      </x:rPr>
      <x:t xml:space="preserve">) = </x:t>
    </x:r>
    <x:r>
      <x:rPr>
        <x:sz val="10"/>
        <x:color rgb="FF000000"/>
        <x:rFont val="Noto Sans CJK SC"/>
        <x:family val="2"/>
      </x:rPr>
      <x:t xml:space="preserve">가입자</x:t>
    </x:r>
    <x:r>
      <x:rPr>
        <x:sz val="10"/>
        <x:color rgb="FF000000"/>
        <x:rFont val="Arial"/>
      </x:rPr>
      <x:t xml:space="preserve">×ARPU×12</x:t>
    </x:r>
  </x:si>
  <x:si>
    <x:r>
      <x:rPr>
        <x:sz val="10"/>
        <x:color rgb="FF000000"/>
        <x:rFont val="Noto Sans CJK SC"/>
        <x:family val="2"/>
      </x:rPr>
      <x:t xml:space="preserve">총 </x:t>
    </x:r>
    <x:r>
      <x:rPr>
        <x:sz val="10"/>
        <x:color rgb="FF000000"/>
        <x:rFont val="Arial"/>
      </x:rPr>
      <x:t xml:space="preserve">Connectivity </x:t>
    </x:r>
    <x:r>
      <x:rPr>
        <x:sz val="10"/>
        <x:color rgb="FF000000"/>
        <x:rFont val="Noto Sans CJK SC"/>
        <x:family val="2"/>
      </x:rPr>
      <x:t xml:space="preserve">매출 </x:t>
    </x:r>
    <x:r>
      <x:rPr>
        <x:sz val="10"/>
        <x:color rgb="FF000000"/>
        <x:rFont val="Arial"/>
      </x:rPr>
      <x:t xml:space="preserve">($B)</x:t>
    </x:r>
  </x:si>
  <x:si>
    <x:t xml:space="preserve">Starlink EBITDA ($B)</x:t>
  </x:si>
  <x:si>
    <x:r>
      <x:rPr>
        <x:sz val="10"/>
        <x:color rgb="FF000000"/>
        <x:rFont val="Noto Sans CJK SC"/>
        <x:family val="2"/>
      </x:rPr>
      <x:t xml:space="preserve">함의 </x:t>
    </x:r>
    <x:r>
      <x:rPr>
        <x:sz val="10"/>
        <x:color rgb="FF000000"/>
        <x:rFont val="Arial"/>
      </x:rPr>
      <x:t xml:space="preserve">EV ($B) = EBITDA×</x:t>
    </x:r>
    <x:r>
      <x:rPr>
        <x:sz val="10"/>
        <x:color rgb="FF000000"/>
        <x:rFont val="Noto Sans CJK SC"/>
        <x:family val="2"/>
      </x:rPr>
      <x:t xml:space="preserve">멀티플</x:t>
    </x:r>
  </x:si>
  <x:si>
    <x:r>
      <x:rPr>
        <x:b/>
        <x:sz val="10"/>
        <x:rFont val="Arial"/>
      </x:rPr>
      <x:t xml:space="preserve">▶ Starlink </x:t>
    </x:r>
    <x:r>
      <x:rPr>
        <x:b/>
        <x:sz val="10"/>
        <x:rFont val="Noto Sans CJK SC"/>
        <x:family val="2"/>
      </x:rPr>
      <x:t xml:space="preserve">주당가치 </x:t>
    </x:r>
    <x:r>
      <x:rPr>
        <x:b/>
        <x:sz val="10"/>
        <x:rFont val="Arial"/>
      </x:rPr>
      <x:t xml:space="preserve">($)</x:t>
    </x:r>
  </x:si>
  <x:si>
    <x:r>
      <x:rPr>
        <x:b/>
        <x:sz val="10"/>
        <x:rFont val="Arial"/>
      </x:rPr>
      <x:t xml:space="preserve">▶ $135 </x:t>
    </x:r>
    <x:r>
      <x:rPr>
        <x:b/>
        <x:sz val="10"/>
        <x:rFont val="Noto Sans CJK SC"/>
        <x:family val="2"/>
      </x:rPr>
      <x:t xml:space="preserve">대비 비중 </x:t>
    </x:r>
    <x:r>
      <x:rPr>
        <x:b/>
        <x:sz val="10"/>
        <x:rFont val="Arial"/>
      </x:rPr>
      <x:t xml:space="preserve">(%)</x:t>
    </x:r>
  </x:si>
  <x:si>
    <x:r>
      <x:rPr>
        <x:sz val="10"/>
        <x:color rgb="FF000000"/>
        <x:rFont val="Noto Sans CJK SC"/>
        <x:family val="2"/>
      </x:rPr>
      <x:t xml:space="preserve">옵션 프리미엄 </x:t>
    </x:r>
    <x:r>
      <x:rPr>
        <x:sz val="10"/>
        <x:color rgb="FF000000"/>
        <x:rFont val="Arial"/>
      </x:rPr>
      <x:t xml:space="preserve">/ </x:t>
    </x:r>
    <x:r>
      <x:rPr>
        <x:sz val="10"/>
        <x:color rgb="FF000000"/>
        <x:rFont val="Noto Sans CJK SC"/>
        <x:family val="2"/>
      </x:rPr>
      <x:t xml:space="preserve">주 </x:t>
    </x:r>
    <x:r>
      <x:rPr>
        <x:sz val="10"/>
        <x:color rgb="FF000000"/>
        <x:rFont val="Arial"/>
      </x:rPr>
      <x:t xml:space="preserve">($) = </x:t>
    </x:r>
    <x:r>
      <x:rPr>
        <x:sz val="10"/>
        <x:color rgb="FF000000"/>
        <x:rFont val="Noto Sans CJK SC"/>
        <x:family val="2"/>
      </x:rPr>
      <x:t xml:space="preserve">가격−</x:t>
    </x:r>
    <x:r>
      <x:rPr>
        <x:sz val="10"/>
        <x:color rgb="FF000000"/>
        <x:rFont val="Arial"/>
      </x:rPr>
      <x:t xml:space="preserve">Starlink</x:t>
    </x:r>
  </x:si>
  <x:si>
    <x:r>
      <x:rPr>
        <x:b/>
        <x:sz val="10"/>
        <x:rFont val="Noto Sans CJK SC"/>
        <x:family val="2"/>
      </x:rPr>
      <x:t xml:space="preserve">▶ 옵션 프리미엄 비중 </x:t>
    </x:r>
    <x:r>
      <x:rPr>
        <x:b/>
        <x:sz val="10"/>
        <x:rFont val="Arial"/>
      </x:rPr>
      <x:t xml:space="preserve">(%)</x:t>
    </x:r>
  </x:si>
  <x:si>
    <x:r>
      <x:rPr>
        <x:b/>
        <x:sz val="10"/>
        <x:color rgb="FFFFFFFF"/>
        <x:rFont val="Noto Sans CJK SC"/>
        <x:family val="2"/>
      </x:rPr>
      <x:t xml:space="preserve">명명 시나리오 </x:t>
    </x:r>
    <x:r>
      <x:rPr>
        <x:b/>
        <x:sz val="10"/>
        <x:color rgb="FFFFFFFF"/>
        <x:rFont val="Arial"/>
      </x:rPr>
      <x:t xml:space="preserve">(</x:t>
    </x:r>
    <x:r>
      <x:rPr>
        <x:b/>
        <x:sz val="10"/>
        <x:color rgb="FFFFFFFF"/>
        <x:rFont val="Noto Sans CJK SC"/>
        <x:family val="2"/>
      </x:rPr>
      <x:t xml:space="preserve">마진</x:t>
    </x:r>
    <x:r>
      <x:rPr>
        <x:b/>
        <x:sz val="10"/>
        <x:color rgb="FFFFFFFF"/>
        <x:rFont val="Arial"/>
      </x:rPr>
      <x:t xml:space="preserve">·</x:t>
    </x:r>
    <x:r>
      <x:rPr>
        <x:b/>
        <x:sz val="10"/>
        <x:color rgb="FFFFFFFF"/>
        <x:rFont val="Noto Sans CJK SC"/>
        <x:family val="2"/>
      </x:rPr>
      <x:t xml:space="preserve">멀티플</x:t>
    </x:r>
    <x:r>
      <x:rPr>
        <x:b/>
        <x:sz val="10"/>
        <x:color rgb="FFFFFFFF"/>
        <x:rFont val="Arial"/>
      </x:rPr>
      <x:t xml:space="preserve">·</x:t>
    </x:r>
    <x:r>
      <x:rPr>
        <x:b/>
        <x:sz val="10"/>
        <x:color rgb="FFFFFFFF"/>
        <x:rFont val="Noto Sans CJK SC"/>
        <x:family val="2"/>
      </x:rPr>
      <x:t xml:space="preserve">기타매출</x:t>
    </x:r>
    <x:r>
      <x:rPr>
        <x:b/>
        <x:sz val="10"/>
        <x:color rgb="FFFFFFFF"/>
        <x:rFont val="Arial"/>
      </x:rPr>
      <x:t xml:space="preserve">·</x:t>
    </x:r>
    <x:r>
      <x:rPr>
        <x:b/>
        <x:sz val="10"/>
        <x:color rgb="FFFFFFFF"/>
        <x:rFont val="Noto Sans CJK SC"/>
        <x:family val="2"/>
      </x:rPr>
      <x:t xml:space="preserve">주식수는 </x:t>
    </x:r>
    <x:r>
      <x:rPr>
        <x:b/>
        <x:sz val="10"/>
        <x:color rgb="FFFFFFFF"/>
        <x:rFont val="Arial"/>
      </x:rPr>
      <x:t xml:space="preserve">INPUTS </x:t>
    </x:r>
    <x:r>
      <x:rPr>
        <x:b/>
        <x:sz val="10"/>
        <x:color rgb="FFFFFFFF"/>
        <x:rFont val="Noto Sans CJK SC"/>
        <x:family val="2"/>
      </x:rPr>
      <x:t xml:space="preserve">공유</x:t>
    </x:r>
    <x:r>
      <x:rPr>
        <x:b/>
        <x:sz val="10"/>
        <x:color rgb="FFFFFFFF"/>
        <x:rFont val="Arial"/>
      </x:rPr>
      <x:t xml:space="preserve">)</x:t>
    </x:r>
  </x:si>
  <x:si>
    <x:t xml:space="preserve">시나리오</x:t>
  </x:si>
  <x:si>
    <x:r>
      <x:rPr>
        <x:b/>
        <x:sz val="10"/>
        <x:rFont val="Noto Sans CJK SC"/>
        <x:family val="2"/>
      </x:rPr>
      <x:t xml:space="preserve">가입자</x:t>
    </x:r>
    <x:r>
      <x:rPr>
        <x:b/>
        <x:sz val="10"/>
        <x:rFont val="Arial"/>
      </x:rPr>
      <x:t xml:space="preserve">(M)</x:t>
    </x:r>
  </x:si>
  <x:si>
    <x:t xml:space="preserve">ARPU($)</x:t>
  </x:si>
  <x:si>
    <x:r>
      <x:rPr>
        <x:b/>
        <x:sz val="10"/>
        <x:rFont val="Noto Sans CJK SC"/>
        <x:family val="2"/>
      </x:rPr>
      <x:t xml:space="preserve">매출</x:t>
    </x:r>
    <x:r>
      <x:rPr>
        <x:b/>
        <x:sz val="10"/>
        <x:rFont val="Arial"/>
      </x:rPr>
      <x:t xml:space="preserve">($B)</x:t>
    </x:r>
  </x:si>
  <x:si>
    <x:t xml:space="preserve">EBITDA($B)</x:t>
  </x:si>
  <x:si>
    <x:t xml:space="preserve">EV($B)</x:t>
  </x:si>
  <x:si>
    <x:r>
      <x:rPr>
        <x:b/>
        <x:sz val="10"/>
        <x:rFont val="Arial"/>
      </x:rPr>
      <x:t xml:space="preserve">$/</x:t>
    </x:r>
    <x:r>
      <x:rPr>
        <x:b/>
        <x:sz val="10"/>
        <x:rFont val="Noto Sans CJK SC"/>
        <x:family val="2"/>
      </x:rPr>
      <x:t xml:space="preserve">주</x:t>
    </x:r>
  </x:si>
  <x:si>
    <x:t xml:space="preserve">% of $135</x:t>
  </x:si>
  <x:si>
    <x:r>
      <x:rPr>
        <x:sz val="10"/>
        <x:color rgb="FF000000"/>
        <x:rFont val="Noto Sans CJK SC"/>
        <x:family val="2"/>
      </x:rPr>
      <x:t xml:space="preserve">현재 </x:t>
    </x:r>
    <x:r>
      <x:rPr>
        <x:sz val="10"/>
        <x:color rgb="FF000000"/>
        <x:rFont val="Arial"/>
      </x:rPr>
      <x:t xml:space="preserve">(~10.3M/$66)</x:t>
    </x:r>
  </x:si>
  <x:si>
    <x:r>
      <x:rPr>
        <x:sz val="10"/>
        <x:color rgb="FF000000"/>
        <x:rFont val="Noto Sans CJK SC"/>
        <x:family val="2"/>
      </x:rPr>
      <x:t xml:space="preserve">포워드 </x:t>
    </x:r>
    <x:r>
      <x:rPr>
        <x:sz val="10"/>
        <x:color rgb="FF000000"/>
        <x:rFont val="Arial"/>
      </x:rPr>
      <x:t xml:space="preserve">(30M/$50)</x:t>
    </x:r>
  </x:si>
  <x:si>
    <x:r>
      <x:rPr>
        <x:sz val="10"/>
        <x:color rgb="FF000000"/>
        <x:rFont val="Noto Sans CJK SC"/>
        <x:family val="2"/>
      </x:rPr>
      <x:t xml:space="preserve">공격적 </x:t>
    </x:r>
    <x:r>
      <x:rPr>
        <x:sz val="10"/>
        <x:color rgb="FF000000"/>
        <x:rFont val="Arial"/>
      </x:rPr>
      <x:t xml:space="preserve">(50M/$40)</x:t>
    </x:r>
  </x:si>
  <x:si>
    <x:r>
      <x:rPr>
        <x:b/>
        <x:sz val="10"/>
        <x:color rgb="FFFFFFFF"/>
        <x:rFont val="Noto Sans CJK SC"/>
        <x:family val="2"/>
      </x:rPr>
      <x:t xml:space="preserve">민감도 그리드</x:t>
    </x:r>
    <x:r>
      <x:rPr>
        <x:b/>
        <x:sz val="10"/>
        <x:color rgb="FFFFFFFF"/>
        <x:rFont val="Arial"/>
      </x:rPr>
      <x:t xml:space="preserve">: </x:t>
    </x:r>
    <x:r>
      <x:rPr>
        <x:b/>
        <x:sz val="10"/>
        <x:color rgb="FFFFFFFF"/>
        <x:rFont val="Noto Sans CJK SC"/>
        <x:family val="2"/>
      </x:rPr>
      <x:t xml:space="preserve">가입자 </x:t>
    </x:r>
    <x:r>
      <x:rPr>
        <x:b/>
        <x:sz val="10"/>
        <x:color rgb="FFFFFFFF"/>
        <x:rFont val="Arial"/>
      </x:rPr>
      <x:t xml:space="preserve">× </x:t>
    </x:r>
    <x:r>
      <x:rPr>
        <x:b/>
        <x:sz val="10"/>
        <x:color rgb="FFFFFFFF"/>
        <x:rFont val="Noto Sans CJK SC"/>
        <x:family val="2"/>
      </x:rPr>
      <x:t xml:space="preserve">멀티플 → 주당가치 </x:t>
    </x:r>
    <x:r>
      <x:rPr>
        <x:b/>
        <x:sz val="10"/>
        <x:color rgb="FFFFFFFF"/>
        <x:rFont val="Arial"/>
      </x:rPr>
      <x:t xml:space="preserve">($)</x:t>
    </x:r>
  </x:si>
  <x:si>
    <x:r>
      <x:rPr>
        <x:i/>
        <x:sz val="9"/>
        <x:color rgb="FF555555"/>
        <x:rFont val="Noto Sans CJK SC"/>
        <x:family val="2"/>
      </x:rPr>
      <x:t xml:space="preserve">주의</x:t>
    </x:r>
    <x:r>
      <x:rPr>
        <x:i/>
        <x:sz val="9"/>
        <x:color rgb="FF555555"/>
        <x:rFont val="Arial"/>
      </x:rPr>
      <x:t xml:space="preserve">: ARPU·</x:t>
    </x:r>
    <x:r>
      <x:rPr>
        <x:i/>
        <x:sz val="9"/>
        <x:color rgb="FF555555"/>
        <x:rFont val="Noto Sans CJK SC"/>
        <x:family val="2"/>
      </x:rPr>
      <x:t xml:space="preserve">마진</x:t>
    </x:r>
    <x:r>
      <x:rPr>
        <x:i/>
        <x:sz val="9"/>
        <x:color rgb="FF555555"/>
        <x:rFont val="Arial"/>
      </x:rPr>
      <x:t xml:space="preserve">·</x:t>
    </x:r>
    <x:r>
      <x:rPr>
        <x:i/>
        <x:sz val="9"/>
        <x:color rgb="FF555555"/>
        <x:rFont val="Noto Sans CJK SC"/>
        <x:family val="2"/>
      </x:rPr>
      <x:t xml:space="preserve">기타매출은 </x:t>
    </x:r>
    <x:r>
      <x:rPr>
        <x:i/>
        <x:sz val="9"/>
        <x:color rgb="FF555555"/>
        <x:rFont val="Arial"/>
      </x:rPr>
      <x:t xml:space="preserve">INPUTS </x:t>
    </x:r>
    <x:r>
      <x:rPr>
        <x:i/>
        <x:sz val="9"/>
        <x:color rgb="FF555555"/>
        <x:rFont val="Noto Sans CJK SC"/>
        <x:family val="2"/>
      </x:rPr>
      <x:t xml:space="preserve">고정</x:t>
    </x:r>
    <x:r>
      <x:rPr>
        <x:i/>
        <x:sz val="9"/>
        <x:color rgb="FF555555"/>
        <x:rFont val="Arial"/>
      </x:rPr>
      <x:t xml:space="preserve">. </x:t>
    </x:r>
    <x:r>
      <x:rPr>
        <x:i/>
        <x:sz val="9"/>
        <x:color rgb="FF555555"/>
        <x:rFont val="Noto Sans CJK SC"/>
        <x:family val="2"/>
      </x:rPr>
      <x:t xml:space="preserve">고가입자에 </x:t>
    </x:r>
    <x:r>
      <x:rPr>
        <x:i/>
        <x:sz val="9"/>
        <x:color rgb="FF555555"/>
        <x:rFont val="Arial"/>
      </x:rPr>
      <x:t xml:space="preserve">ARPU </x:t>
    </x:r>
    <x:r>
      <x:rPr>
        <x:i/>
        <x:sz val="9"/>
        <x:color rgb="FF555555"/>
        <x:rFont val="Noto Sans CJK SC"/>
        <x:family val="2"/>
      </x:rPr>
      <x:t xml:space="preserve">고정은 다소 낙관적</x:t>
    </x:r>
    <x:r>
      <x:rPr>
        <x:i/>
        <x:sz val="9"/>
        <x:color rgb="FF555555"/>
        <x:rFont val="Arial"/>
      </x:rPr>
      <x:t xml:space="preserve">.</x:t>
    </x:r>
  </x:si>
  <x:si>
    <x:r>
      <x:rPr>
        <x:b/>
        <x:sz val="10"/>
        <x:rFont val="Noto Sans CJK SC"/>
        <x:family val="2"/>
      </x:rPr>
      <x:t xml:space="preserve">가입자</x:t>
    </x:r>
    <x:r>
      <x:rPr>
        <x:b/>
        <x:sz val="10"/>
        <x:rFont val="Arial"/>
      </x:rPr>
      <x:t xml:space="preserve">(M) \ </x:t>
    </x:r>
    <x:r>
      <x:rPr>
        <x:b/>
        <x:sz val="10"/>
        <x:rFont val="Noto Sans CJK SC"/>
        <x:family val="2"/>
      </x:rPr>
      <x:t xml:space="preserve">멀티플</x:t>
    </x:r>
    <x:r>
      <x:rPr>
        <x:b/>
        <x:sz val="10"/>
        <x:rFont val="Arial"/>
      </x:rPr>
      <x:t xml:space="preserve">(x)</x:t>
    </x:r>
  </x:si>
  <x:si>
    <x:r>
      <x:rPr>
        <x:b/>
        <x:sz val="10"/>
        <x:rFont val="Noto Sans CJK SC"/>
        <x:family val="2"/>
      </x:rPr>
      <x:t xml:space="preserve">핵심 사실 </x:t>
    </x:r>
    <x:r>
      <x:rPr>
        <x:b/>
        <x:sz val="10"/>
        <x:rFont val="Arial"/>
      </x:rPr>
      <x:t xml:space="preserve">/ </x:t>
    </x:r>
    <x:r>
      <x:rPr>
        <x:b/>
        <x:sz val="10"/>
        <x:rFont val="Noto Sans CJK SC"/>
        <x:family val="2"/>
      </x:rPr>
      <x:t xml:space="preserve">출처</x:t>
    </x:r>
  </x:si>
  <x:si>
    <x:r>
      <x:rPr>
        <x:i/>
        <x:sz val="9"/>
        <x:color rgb="FF555555"/>
        <x:rFont val="Arial"/>
      </x:rPr>
      <x:t xml:space="preserve">· Connectivity 2025: </x:t>
    </x:r>
    <x:r>
      <x:rPr>
        <x:i/>
        <x:sz val="9"/>
        <x:color rgb="FF555555"/>
        <x:rFont val="Noto Sans CJK SC"/>
        <x:family val="2"/>
      </x:rPr>
      <x:t xml:space="preserve">매출 </x:t>
    </x:r>
    <x:r>
      <x:rPr>
        <x:i/>
        <x:sz val="9"/>
        <x:color rgb="FF555555"/>
        <x:rFont val="Arial"/>
      </x:rPr>
      <x:t xml:space="preserve">$11.4B, </x:t>
    </x:r>
    <x:r>
      <x:rPr>
        <x:i/>
        <x:sz val="9"/>
        <x:color rgb="FF555555"/>
        <x:rFont val="Noto Sans CJK SC"/>
        <x:family val="2"/>
      </x:rPr>
      <x:t xml:space="preserve">영업이익 </x:t>
    </x:r>
    <x:r>
      <x:rPr>
        <x:i/>
        <x:sz val="9"/>
        <x:color rgb="FF555555"/>
        <x:rFont val="Arial"/>
      </x:rPr>
      <x:t xml:space="preserve">$4.4B, seg. adj. EBITDA $7.2B, </x:t>
    </x:r>
    <x:r>
      <x:rPr>
        <x:i/>
        <x:sz val="9"/>
        <x:color rgb="FF555555"/>
        <x:rFont val="Noto Sans CJK SC"/>
        <x:family val="2"/>
      </x:rPr>
      <x:t xml:space="preserve">마진 </x:t>
    </x:r>
    <x:r>
      <x:rPr>
        <x:i/>
        <x:sz val="9"/>
        <x:color rgb="FF555555"/>
        <x:rFont val="Arial"/>
      </x:rPr>
      <x:t xml:space="preserve">63% (S-1/A)</x:t>
    </x:r>
  </x:si>
  <x:si>
    <x:r>
      <x:rPr>
        <x:i/>
        <x:sz val="9"/>
        <x:color rgb="FF555555"/>
        <x:rFont val="Arial"/>
      </x:rPr>
      <x:t xml:space="preserve">· </x:t>
    </x:r>
    <x:r>
      <x:rPr>
        <x:i/>
        <x:sz val="9"/>
        <x:color rgb="FF555555"/>
        <x:rFont val="Noto Sans CJK SC"/>
        <x:family val="2"/>
      </x:rPr>
      <x:t xml:space="preserve">포워드 시나리오</x:t>
    </x:r>
    <x:r>
      <x:rPr>
        <x:i/>
        <x:sz val="9"/>
        <x:color rgb="FF555555"/>
        <x:rFont val="Arial"/>
      </x:rPr>
      <x:t xml:space="preserve">: 30M/$50≈$18B EBITDA, 50M/$40≈$25B EBITDA (</x:t>
    </x:r>
    <x:r>
      <x:rPr>
        <x:i/>
        <x:sz val="9"/>
        <x:color rgb="FF555555"/>
        <x:rFont val="Noto Sans CJK SC"/>
        <x:family val="2"/>
      </x:rPr>
      <x:t xml:space="preserve">애널리스트 추정</x:t>
    </x:r>
    <x:r>
      <x:rPr>
        <x:i/>
        <x:sz val="9"/>
        <x:color rgb="FF555555"/>
        <x:rFont val="Arial"/>
      </x:rPr>
      <x:t xml:space="preserve">)</x:t>
    </x:r>
  </x:si>
  <x:si>
    <x:r>
      <x:rPr>
        <x:i/>
        <x:sz val="9"/>
        <x:color rgb="FF555555"/>
        <x:rFont val="Arial"/>
      </x:rPr>
      <x:t xml:space="preserve">· </x:t>
    </x:r>
    <x:r>
      <x:rPr>
        <x:i/>
        <x:sz val="9"/>
        <x:color rgb="FF555555"/>
        <x:rFont val="Noto Sans CJK SC"/>
        <x:family val="2"/>
      </x:rPr>
      <x:t xml:space="preserve">결론</x:t>
    </x:r>
    <x:r>
      <x:rPr>
        <x:i/>
        <x:sz val="9"/>
        <x:color rgb="FF555555"/>
        <x:rFont val="Arial"/>
      </x:rPr>
      <x:t xml:space="preserve">: </x:t>
    </x:r>
    <x:r>
      <x:rPr>
        <x:i/>
        <x:sz val="9"/>
        <x:color rgb="FF555555"/>
        <x:rFont val="Noto Sans CJK SC"/>
        <x:family val="2"/>
      </x:rPr>
      <x:t xml:space="preserve">현 실적 바닥 </x:t>
    </x:r>
    <x:r>
      <x:rPr>
        <x:i/>
        <x:sz val="9"/>
        <x:color rgb="FF555555"/>
        <x:rFont val="Arial"/>
      </x:rPr>
      <x:t xml:space="preserve">$5~17/</x:t>
    </x:r>
    <x:r>
      <x:rPr>
        <x:i/>
        <x:sz val="9"/>
        <x:color rgb="FF555555"/>
        <x:rFont val="Noto Sans CJK SC"/>
        <x:family val="2"/>
      </x:rPr>
      <x:t xml:space="preserve">주</x:t>
    </x:r>
    <x:r>
      <x:rPr>
        <x:i/>
        <x:sz val="9"/>
        <x:color rgb="FF555555"/>
        <x:rFont val="Arial"/>
      </x:rPr>
      <x:t xml:space="preserve">, </x:t>
    </x:r>
    <x:r>
      <x:rPr>
        <x:i/>
        <x:sz val="9"/>
        <x:color rgb="FF555555"/>
        <x:rFont val="Noto Sans CJK SC"/>
        <x:family val="2"/>
      </x:rPr>
      <x:t xml:space="preserve">공격적 포워드 </x:t>
    </x:r>
    <x:r>
      <x:rPr>
        <x:i/>
        <x:sz val="9"/>
        <x:color rgb="FF555555"/>
        <x:rFont val="Arial"/>
      </x:rPr>
      <x:t xml:space="preserve">$34~48/</x:t>
    </x:r>
    <x:r>
      <x:rPr>
        <x:i/>
        <x:sz val="9"/>
        <x:color rgb="FF555555"/>
        <x:rFont val="Noto Sans CJK SC"/>
        <x:family val="2"/>
      </x:rPr>
      <x:t xml:space="preserve">주 → </x:t>
    </x:r>
    <x:r>
      <x:rPr>
        <x:i/>
        <x:sz val="9"/>
        <x:color rgb="FF555555"/>
        <x:rFont val="Arial"/>
      </x:rPr>
      <x:t xml:space="preserve">$135</x:t>
    </x:r>
    <x:r>
      <x:rPr>
        <x:i/>
        <x:sz val="9"/>
        <x:color rgb="FF555555"/>
        <x:rFont val="Noto Sans CJK SC"/>
        <x:family val="2"/>
      </x:rPr>
      <x:t xml:space="preserve">의 대부분은 옵션 프리미엄</x:t>
    </x:r>
  </x:si>
  <x:si>
    <x:r>
      <x:rPr>
        <x:i/>
        <x:sz val="9"/>
        <x:color rgb="FF555555"/>
        <x:rFont val="Arial"/>
      </x:rPr>
      <x:t xml:space="preserve">· </x:t>
    </x:r>
    <x:r>
      <x:rPr>
        <x:i/>
        <x:sz val="9"/>
        <x:color rgb="FF555555"/>
        <x:rFont val="Noto Sans CJK SC"/>
        <x:family val="2"/>
      </x:rPr>
      <x:t xml:space="preserve">본 모델은 투자자문이 아니며 가정 기반 추정치임</x:t>
    </x:r>
    <x:r>
      <x:rPr>
        <x:i/>
        <x:sz val="9"/>
        <x:color rgb="FF555555"/>
        <x:rFont val="Arial"/>
      </x:rPr>
      <x:t xml:space="preserve">.</x:t>
    </x:r>
  </x:si>
  <x:si>
    <x:r>
      <x:rPr>
        <x:b/>
        <x:sz val="13"/>
        <x:rFont val="Arial"/>
      </x:rPr>
      <x:t xml:space="preserve">SPCX — </x:t>
    </x:r>
    <x:r>
      <x:rPr>
        <x:b/>
        <x:sz val="13"/>
        <x:rFont val="Noto Sans CJK SC"/>
        <x:family val="2"/>
      </x:rPr>
      <x:t xml:space="preserve">락업 </x:t>
    </x:r>
    <x:r>
      <x:rPr>
        <x:b/>
        <x:sz val="13"/>
        <x:rFont val="Arial"/>
      </x:rPr>
      <x:t xml:space="preserve">· </x:t>
    </x:r>
    <x:r>
      <x:rPr>
        <x:b/>
        <x:sz val="13"/>
        <x:rFont val="Noto Sans CJK SC"/>
        <x:family val="2"/>
      </x:rPr>
      <x:t xml:space="preserve">오버행 캘린더 </x:t>
    </x:r>
    <x:r>
      <x:rPr>
        <x:b/>
        <x:sz val="13"/>
        <x:rFont val="Arial"/>
      </x:rPr>
      <x:t xml:space="preserve">(FWP </x:t>
    </x:r>
    <x:r>
      <x:rPr>
        <x:b/>
        <x:sz val="13"/>
        <x:rFont val="Noto Sans CJK SC"/>
        <x:family val="2"/>
      </x:rPr>
      <x:t xml:space="preserve">기준</x:t>
    </x:r>
    <x:r>
      <x:rPr>
        <x:b/>
        <x:sz val="13"/>
        <x:rFont val="Arial"/>
      </x:rPr>
      <x:t xml:space="preserve">)</x:t>
    </x:r>
  </x:si>
  <x:si>
    <x:r>
      <x:rPr>
        <x:i/>
        <x:sz val="9"/>
        <x:color rgb="FF555555"/>
        <x:rFont val="Noto Sans CJK SC"/>
        <x:family val="2"/>
      </x:rPr>
      <x:t xml:space="preserve">상장</x:t>
    </x:r>
    <x:r>
      <x:rPr>
        <x:i/>
        <x:sz val="9"/>
        <x:color rgb="FF555555"/>
        <x:rFont val="Arial"/>
      </x:rPr>
      <x:t xml:space="preserve">(Day 0) = 2026-06-12 </x:t>
    </x:r>
    <x:r>
      <x:rPr>
        <x:i/>
        <x:sz val="9"/>
        <x:color rgb="FF555555"/>
        <x:rFont val="Noto Sans CJK SC"/>
        <x:family val="2"/>
      </x:rPr>
      <x:t xml:space="preserve">가정</x:t>
    </x:r>
    <x:r>
      <x:rPr>
        <x:i/>
        <x:sz val="9"/>
        <x:color rgb="FF555555"/>
        <x:rFont val="Arial"/>
      </x:rPr>
      <x:t xml:space="preserve">. </x:t>
    </x:r>
    <x:r>
      <x:rPr>
        <x:i/>
        <x:sz val="9"/>
        <x:color rgb="FF555555"/>
        <x:rFont val="Noto Sans CJK SC"/>
        <x:family val="2"/>
      </x:rPr>
      <x:t xml:space="preserve">정확한 </x:t>
    </x:r>
    <x:r>
      <x:rPr>
        <x:i/>
        <x:sz val="9"/>
        <x:color rgb="FF555555"/>
        <x:rFont val="Arial"/>
      </x:rPr>
      <x:t xml:space="preserve">lettered(a~f) </x:t>
    </x:r>
    <x:r>
      <x:rPr>
        <x:i/>
        <x:sz val="9"/>
        <x:color rgb="FF555555"/>
        <x:rFont val="Noto Sans CJK SC"/>
        <x:family val="2"/>
      </x:rPr>
      <x:t xml:space="preserve">조기해제 비율</x:t>
    </x:r>
    <x:r>
      <x:rPr>
        <x:i/>
        <x:sz val="9"/>
        <x:color rgb="FF555555"/>
        <x:rFont val="Arial"/>
      </x:rPr>
      <x:t xml:space="preserve">·</x:t>
    </x:r>
    <x:r>
      <x:rPr>
        <x:i/>
        <x:sz val="9"/>
        <x:color rgb="FF555555"/>
        <x:rFont val="Noto Sans CJK SC"/>
        <x:family val="2"/>
      </x:rPr>
      <x:t xml:space="preserve">일자는 최종 투자설명서 </x:t>
    </x:r>
    <x:r>
      <x:rPr>
        <x:i/>
        <x:sz val="9"/>
        <x:color rgb="FF555555"/>
        <x:rFont val="Arial"/>
      </x:rPr>
      <x:t xml:space="preserve">Lock-up </x:t>
    </x:r>
    <x:r>
      <x:rPr>
        <x:i/>
        <x:sz val="9"/>
        <x:color rgb="FF555555"/>
        <x:rFont val="Noto Sans CJK SC"/>
        <x:family val="2"/>
      </x:rPr>
      <x:t xml:space="preserve">섹션 확인 필요</x:t>
    </x:r>
    <x:r>
      <x:rPr>
        <x:i/>
        <x:sz val="9"/>
        <x:color rgb="FF555555"/>
        <x:rFont val="Arial"/>
      </x:rPr>
      <x:t xml:space="preserve">.</x:t>
    </x:r>
  </x:si>
  <x:si>
    <x:r>
      <x:rPr>
        <x:b/>
        <x:sz val="10"/>
        <x:color rgb="FFFFFFFF"/>
        <x:rFont val="Noto Sans CJK SC"/>
        <x:family val="2"/>
      </x:rPr>
      <x:t xml:space="preserve">시점 </x:t>
    </x:r>
    <x:r>
      <x:rPr>
        <x:b/>
        <x:sz val="10"/>
        <x:color rgb="FFFFFFFF"/>
        <x:rFont val="Arial"/>
      </x:rPr>
      <x:t xml:space="preserve">(</x:t>
    </x:r>
    <x:r>
      <x:rPr>
        <x:b/>
        <x:sz val="10"/>
        <x:color rgb="FFFFFFFF"/>
        <x:rFont val="Noto Sans CJK SC"/>
        <x:family val="2"/>
      </x:rPr>
      <x:t xml:space="preserve">예상</x:t>
    </x:r>
    <x:r>
      <x:rPr>
        <x:b/>
        <x:sz val="10"/>
        <x:color rgb="FFFFFFFF"/>
        <x:rFont val="Arial"/>
      </x:rPr>
      <x:t xml:space="preserve">)</x:t>
    </x:r>
  </x:si>
  <x:si>
    <x:t xml:space="preserve">버킷</x:t>
  </x:si>
  <x:si>
    <x:t xml:space="preserve">대략 물량</x:t>
  </x:si>
  <x:si>
    <x:r>
      <x:rPr>
        <x:b/>
        <x:sz val="10"/>
        <x:color rgb="FFFFFFFF"/>
        <x:rFont val="Noto Sans CJK SC"/>
        <x:family val="2"/>
      </x:rPr>
      <x:t xml:space="preserve">트리거 </x:t>
    </x:r>
    <x:r>
      <x:rPr>
        <x:b/>
        <x:sz val="10"/>
        <x:color rgb="FFFFFFFF"/>
        <x:rFont val="Arial"/>
      </x:rPr>
      <x:t xml:space="preserve">/ </x:t>
    </x:r>
    <x:r>
      <x:rPr>
        <x:b/>
        <x:sz val="10"/>
        <x:color rgb="FFFFFFFF"/>
        <x:rFont val="Noto Sans CJK SC"/>
        <x:family val="2"/>
      </x:rPr>
      <x:t xml:space="preserve">해제 조건</x:t>
    </x:r>
  </x:si>
  <x:si>
    <x:t xml:space="preserve">메모</x:t>
  </x:si>
  <x:si>
    <x:t xml:space="preserve">2026-06-11</x:t>
  </x:si>
  <x:si>
    <x:t xml:space="preserve">Pricing</x:t>
  </x:si>
  <x:si>
    <x:r>
      <x:rPr>
        <x:sz val="10"/>
        <x:color rgb="FF000000"/>
        <x:rFont val="Arial"/>
      </x:rPr>
      <x:t xml:space="preserve">555.6M </x:t>
    </x:r>
    <x:r>
      <x:rPr>
        <x:sz val="10"/>
        <x:color rgb="FF000000"/>
        <x:rFont val="Noto Sans CJK SC"/>
        <x:family val="2"/>
      </x:rPr>
      <x:t xml:space="preserve">신주</x:t>
    </x:r>
  </x:si>
  <x:si>
    <x:r>
      <x:rPr>
        <x:sz val="10"/>
        <x:color rgb="FF000000"/>
        <x:rFont val="Noto Sans CJK SC"/>
        <x:family val="2"/>
      </x:rPr>
      <x:t xml:space="preserve">공모가 확정 </x:t>
    </x:r>
    <x:r>
      <x:rPr>
        <x:sz val="10"/>
        <x:color rgb="FF000000"/>
        <x:rFont val="Arial"/>
      </x:rPr>
      <x:t xml:space="preserve">($135 </x:t>
    </x:r>
    <x:r>
      <x:rPr>
        <x:sz val="10"/>
        <x:color rgb="FF000000"/>
        <x:rFont val="Noto Sans CJK SC"/>
        <x:family val="2"/>
      </x:rPr>
      <x:t xml:space="preserve">고정</x:t>
    </x:r>
    <x:r>
      <x:rPr>
        <x:sz val="10"/>
        <x:color rgb="FF000000"/>
        <x:rFont val="Arial"/>
      </x:rPr>
      <x:t xml:space="preserve">)</x:t>
    </x:r>
  </x:si>
  <x:si>
    <x:r>
      <x:rPr>
        <x:sz val="10"/>
        <x:color rgb="FF000000"/>
        <x:rFont val="Noto Sans CJK SC"/>
        <x:family val="2"/>
      </x:rPr>
      <x:t xml:space="preserve">초과배정 </x:t>
    </x:r>
    <x:r>
      <x:rPr>
        <x:sz val="10"/>
        <x:color rgb="FF000000"/>
        <x:rFont val="Arial"/>
      </x:rPr>
      <x:t xml:space="preserve">83.3M </x:t>
    </x:r>
    <x:r>
      <x:rPr>
        <x:sz val="10"/>
        <x:color rgb="FF000000"/>
        <x:rFont val="Noto Sans CJK SC"/>
        <x:family val="2"/>
      </x:rPr>
      <x:t xml:space="preserve">별도</x:t>
    </x:r>
  </x:si>
  <x:si>
    <x:t xml:space="preserve">2026-06-12 (Day 0)</x:t>
  </x:si>
  <x:si>
    <x:t xml:space="preserve">상장</x:t>
  </x:si>
  <x:si>
    <x:r>
      <x:rPr>
        <x:sz val="10"/>
        <x:color rgb="FF000000"/>
        <x:rFont val="Noto Sans CJK SC"/>
        <x:family val="2"/>
      </x:rPr>
      <x:t xml:space="preserve">유통 </x:t>
    </x:r>
    <x:r>
      <x:rPr>
        <x:sz val="10"/>
        <x:color rgb="FF000000"/>
        <x:rFont val="Arial"/>
      </x:rPr>
      <x:t xml:space="preserve">~5%</x:t>
    </x:r>
  </x:si>
  <x:si>
    <x:r>
      <x:rPr>
        <x:sz val="10"/>
        <x:color rgb="FF000000"/>
        <x:rFont val="Arial"/>
      </x:rPr>
      <x:t xml:space="preserve">Nasdaq/Nasdaq Texas </x:t>
    </x:r>
    <x:r>
      <x:rPr>
        <x:sz val="10"/>
        <x:color rgb="FF000000"/>
        <x:rFont val="Noto Sans CJK SC"/>
        <x:family val="2"/>
      </x:rPr>
      <x:t xml:space="preserve">거래 개시</x:t>
    </x:r>
  </x:si>
  <x:si>
    <x:t xml:space="preserve">자유유통물량 의도적으로 타이트</x:t>
  </x:si>
  <x:si>
    <x:t xml:space="preserve">~2026-06-27 (Day 15)</x:t>
  </x:si>
  <x:si>
    <x:t xml:space="preserve">지수수급</x:t>
  </x:si>
  <x:si>
    <x:t xml:space="preserve">—</x:t>
  </x:si>
  <x:si>
    <x:r>
      <x:rPr>
        <x:sz val="10"/>
        <x:color rgb="FF000000"/>
        <x:rFont val="Noto Sans CJK SC"/>
        <x:family val="2"/>
      </x:rPr>
      <x:t xml:space="preserve">나스닥</x:t>
    </x:r>
    <x:r>
      <x:rPr>
        <x:sz val="10"/>
        <x:color rgb="FF000000"/>
        <x:rFont val="Arial"/>
      </x:rPr>
      <x:t xml:space="preserve">100 </x:t>
    </x:r>
    <x:r>
      <x:rPr>
        <x:sz val="10"/>
        <x:color rgb="FF000000"/>
        <x:rFont val="Noto Sans CJK SC"/>
        <x:family val="2"/>
      </x:rPr>
      <x:t xml:space="preserve">패스트엔트리 편입 자격</x:t>
    </x:r>
  </x:si>
  <x:si>
    <x:t xml:space="preserve">편입 시 인덱스펀드 강제 매수</x:t>
  </x:si>
  <x:si>
    <x:r>
      <x:rPr>
        <x:b/>
        <x:sz val="10"/>
        <x:rFont val="Arial"/>
      </x:rPr>
      <x:t xml:space="preserve">~2026-08 (Q2 </x:t>
    </x:r>
    <x:r>
      <x:rPr>
        <x:b/>
        <x:sz val="10"/>
        <x:rFont val="Noto Sans CJK SC"/>
        <x:family val="2"/>
      </x:rPr>
      <x:t xml:space="preserve">실적</x:t>
    </x:r>
    <x:r>
      <x:rPr>
        <x:b/>
        <x:sz val="10"/>
        <x:rFont val="Arial"/>
      </x:rPr>
      <x:t xml:space="preserve">)</x:t>
    </x:r>
  </x:si>
  <x:si>
    <x:r>
      <x:rPr>
        <x:sz val="10"/>
        <x:color rgb="FF000000"/>
        <x:rFont val="Arial"/>
      </x:rPr>
      <x:t xml:space="preserve">180</x:t>
    </x:r>
    <x:r>
      <x:rPr>
        <x:sz val="10"/>
        <x:color rgb="FF000000"/>
        <x:rFont val="Noto Sans CJK SC"/>
        <x:family val="2"/>
      </x:rPr>
      <x:t xml:space="preserve">일 버킷 조기해제 개시</x:t>
    </x:r>
  </x:si>
  <x:si>
    <x:r>
      <x:rPr>
        <x:sz val="10"/>
        <x:color rgb="FF000000"/>
        <x:rFont val="Noto Sans CJK SC"/>
        <x:family val="2"/>
      </x:rPr>
      <x:t xml:space="preserve">일부 비</x:t>
    </x:r>
    <x:r>
      <x:rPr>
        <x:sz val="10"/>
        <x:color rgb="FF000000"/>
        <x:rFont val="Arial"/>
      </x:rPr>
      <x:t xml:space="preserve">-Musk </x:t>
    </x:r>
    <x:r>
      <x:rPr>
        <x:sz val="10"/>
        <x:color rgb="FF000000"/>
        <x:rFont val="Noto Sans CJK SC"/>
        <x:family val="2"/>
      </x:rPr>
      <x:t xml:space="preserve">내부자</x:t>
    </x:r>
  </x:si>
  <x:si>
    <x:r>
      <x:rPr>
        <x:sz val="10"/>
        <x:color rgb="FF000000"/>
        <x:rFont val="Noto Sans CJK SC"/>
        <x:family val="2"/>
      </x:rPr>
      <x:t xml:space="preserve">첫 분기실적 발표 </x:t>
    </x:r>
    <x:r>
      <x:rPr>
        <x:sz val="10"/>
        <x:color rgb="FF000000"/>
        <x:rFont val="Arial"/>
      </x:rPr>
      <x:t xml:space="preserve">2</x:t>
    </x:r>
    <x:r>
      <x:rPr>
        <x:sz val="10"/>
        <x:color rgb="FF000000"/>
        <x:rFont val="Noto Sans CJK SC"/>
        <x:family val="2"/>
      </x:rPr>
      <x:t xml:space="preserve">거래일 후부터 단계적 조기해제 </x:t>
    </x:r>
    <x:r>
      <x:rPr>
        <x:sz val="10"/>
        <x:color rgb="FF000000"/>
        <x:rFont val="Arial"/>
      </x:rPr>
      <x:t xml:space="preserve">(Q3 2026 </x:t>
    </x:r>
    <x:r>
      <x:rPr>
        <x:sz val="10"/>
        <x:color rgb="FF000000"/>
        <x:rFont val="Noto Sans CJK SC"/>
        <x:family val="2"/>
      </x:rPr>
      <x:t xml:space="preserve">개시</x:t>
    </x:r>
    <x:r>
      <x:rPr>
        <x:sz val="10"/>
        <x:color rgb="FF000000"/>
        <x:rFont val="Arial"/>
      </x:rPr>
      <x:t xml:space="preserve">)</x:t>
    </x:r>
  </x:si>
  <x:si>
    <x:r>
      <x:rPr>
        <x:sz val="10"/>
        <x:color rgb="FF000000"/>
        <x:rFont val="Noto Sans CJK SC"/>
        <x:family val="2"/>
      </x:rPr>
      <x:t xml:space="preserve">★ 첫 근월 오버행</x:t>
    </x:r>
    <x:r>
      <x:rPr>
        <x:sz val="10"/>
        <x:color rgb="FF000000"/>
        <x:rFont val="Arial"/>
      </x:rPr>
      <x:t xml:space="preserve">. 8</x:t>
    </x:r>
    <x:r>
      <x:rPr>
        <x:sz val="10"/>
        <x:color rgb="FF000000"/>
        <x:rFont val="Noto Sans CJK SC"/>
        <x:family val="2"/>
      </x:rPr>
      <x:t xml:space="preserve">월 변동성 분기점</x:t>
    </x:r>
  </x:si>
  <x:si>
    <x:t xml:space="preserve">~2026-09 (Day 90)</x:t>
  </x:si>
  <x:si>
    <x:t xml:space="preserve">Rule 144</x:t>
  </x:si>
  <x:si>
    <x:r>
      <x:rPr>
        <x:sz val="10"/>
        <x:color rgb="FF000000"/>
        <x:rFont val="Arial"/>
      </x:rPr>
      <x:t xml:space="preserve">~12.2B</x:t>
    </x:r>
    <x:r>
      <x:rPr>
        <x:sz val="10"/>
        <x:color rgb="FF000000"/>
        <x:rFont val="Noto Sans CJK SC"/>
        <x:family val="2"/>
      </x:rPr>
      <x:t xml:space="preserve">주 </x:t>
    </x:r>
    <x:r>
      <x:rPr>
        <x:sz val="10"/>
        <x:color rgb="FF000000"/>
        <x:rFont val="Arial"/>
      </x:rPr>
      <x:t xml:space="preserve">(</x:t>
    </x:r>
    <x:r>
      <x:rPr>
        <x:sz val="10"/>
        <x:color rgb="FF000000"/>
        <x:rFont val="Noto Sans CJK SC"/>
        <x:family val="2"/>
      </x:rPr>
      <x:t xml:space="preserve">락업 적용</x:t>
    </x:r>
    <x:r>
      <x:rPr>
        <x:sz val="10"/>
        <x:color rgb="FF000000"/>
        <x:rFont val="Arial"/>
      </x:rPr>
      <x:t xml:space="preserve">)</x:t>
    </x:r>
  </x:si>
  <x:si>
    <x:r>
      <x:rPr>
        <x:sz val="10"/>
        <x:color rgb="FF000000"/>
        <x:rFont val="Arial"/>
      </x:rPr>
      <x:t xml:space="preserve">IPO </x:t>
    </x:r>
    <x:r>
      <x:rPr>
        <x:sz val="10"/>
        <x:color rgb="FF000000"/>
        <x:rFont val="Noto Sans CJK SC"/>
        <x:family val="2"/>
      </x:rPr>
      <x:t xml:space="preserve">후 </x:t>
    </x:r>
    <x:r>
      <x:rPr>
        <x:sz val="10"/>
        <x:color rgb="FF000000"/>
        <x:rFont val="Arial"/>
      </x:rPr>
      <x:t xml:space="preserve">90</x:t>
    </x:r>
    <x:r>
      <x:rPr>
        <x:sz val="10"/>
        <x:color rgb="FF000000"/>
        <x:rFont val="Noto Sans CJK SC"/>
        <x:family val="2"/>
      </x:rPr>
      <x:t xml:space="preserve">일 경과 시 </x:t>
    </x:r>
    <x:r>
      <x:rPr>
        <x:sz val="10"/>
        <x:color rgb="FF000000"/>
        <x:rFont val="Arial"/>
      </x:rPr>
      <x:t xml:space="preserve">Rule 144 </x:t>
    </x:r>
    <x:r>
      <x:rPr>
        <x:sz val="10"/>
        <x:color rgb="FF000000"/>
        <x:rFont val="Noto Sans CJK SC"/>
        <x:family val="2"/>
      </x:rPr>
      <x:t xml:space="preserve">재판매 가능 — 단 락업 제한 적용</x:t>
    </x:r>
  </x:si>
  <x:si>
    <x:t xml:space="preserve">실제 출회는 락업 만료에 종속</x:t>
  </x:si>
  <x:si>
    <x:t xml:space="preserve">~2026-12-09 (Day 180)</x:t>
  </x:si>
  <x:si>
    <x:r>
      <x:rPr>
        <x:sz val="10"/>
        <x:color rgb="FF000000"/>
        <x:rFont val="Arial"/>
      </x:rPr>
      <x:t xml:space="preserve">180</x:t>
    </x:r>
    <x:r>
      <x:rPr>
        <x:sz val="10"/>
        <x:color rgb="FF000000"/>
        <x:rFont val="Noto Sans CJK SC"/>
        <x:family val="2"/>
      </x:rPr>
      <x:t xml:space="preserve">일 버킷 만료</x:t>
    </x:r>
  </x:si>
  <x:si>
    <x:r>
      <x:rPr>
        <x:sz val="10"/>
        <x:color rgb="FF000000"/>
        <x:rFont val="Arial"/>
      </x:rPr>
      <x:t xml:space="preserve">"</x:t>
    </x:r>
    <x:r>
      <x:rPr>
        <x:sz val="10"/>
        <x:color rgb="FF000000"/>
        <x:rFont val="Noto Sans CJK SC"/>
        <x:family val="2"/>
      </x:rPr>
      <x:t xml:space="preserve">그 외 모든 주식</x:t>
    </x:r>
    <x:r>
      <x:rPr>
        <x:sz val="10"/>
        <x:color rgb="FF000000"/>
        <x:rFont val="Arial"/>
      </x:rPr>
      <x:t xml:space="preserve">"</x:t>
    </x:r>
  </x:si>
  <x:si>
    <x:r>
      <x:rPr>
        <x:sz val="10"/>
        <x:color rgb="FF000000"/>
        <x:rFont val="Arial"/>
      </x:rPr>
      <x:t xml:space="preserve">180</x:t>
    </x:r>
    <x:r>
      <x:rPr>
        <x:sz val="10"/>
        <x:color rgb="FF000000"/>
        <x:rFont val="Noto Sans CJK SC"/>
        <x:family val="2"/>
      </x:rPr>
      <x:t xml:space="preserve">일 락업 종료</x:t>
    </x:r>
  </x:si>
  <x:si>
    <x:t xml:space="preserve">조기해제 잔여분 최종 해제</x:t>
  </x:si>
  <x:si>
    <x:t xml:space="preserve">~2027-06-13 (Day 366)</x:t>
  </x:si>
  <x:si>
    <x:r>
      <x:rPr>
        <x:sz val="10"/>
        <x:color rgb="FF000000"/>
        <x:rFont val="Arial"/>
      </x:rPr>
      <x:t xml:space="preserve">Musk + </x:t>
    </x:r>
    <x:r>
      <x:rPr>
        <x:sz val="10"/>
        <x:color rgb="FF000000"/>
        <x:rFont val="Noto Sans CJK SC"/>
        <x:family val="2"/>
      </x:rPr>
      <x:t xml:space="preserve">주요 투자자</x:t>
    </x:r>
  </x:si>
  <x:si>
    <x:r>
      <x:rPr>
        <x:sz val="10"/>
        <x:color rgb="FF000000"/>
        <x:rFont val="Arial"/>
      </x:rPr>
      <x:t xml:space="preserve">Musk </x:t>
    </x:r>
    <x:r>
      <x:rPr>
        <x:sz val="10"/>
        <x:color rgb="FF000000"/>
        <x:rFont val="Noto Sans CJK SC"/>
        <x:family val="2"/>
      </x:rPr>
      <x:t xml:space="preserve">지분 </x:t>
    </x:r>
    <x:r>
      <x:rPr>
        <x:sz val="10"/>
        <x:color rgb="FF000000"/>
        <x:rFont val="Arial"/>
      </x:rPr>
      <x:t xml:space="preserve">+ select</x:t>
    </x:r>
  </x:si>
  <x:si>
    <x:r>
      <x:rPr>
        <x:sz val="10"/>
        <x:color rgb="FF000000"/>
        <x:rFont val="Arial"/>
      </x:rPr>
      <x:t xml:space="preserve">366</x:t>
    </x:r>
    <x:r>
      <x:rPr>
        <x:sz val="10"/>
        <x:color rgb="FF000000"/>
        <x:rFont val="Noto Sans CJK SC"/>
        <x:family val="2"/>
      </x:rPr>
      <x:t xml:space="preserve">일 락업 종료</x:t>
    </x:r>
    <x:r>
      <x:rPr>
        <x:sz val="10"/>
        <x:color rgb="FF000000"/>
        <x:rFont val="Arial"/>
      </x:rPr>
      <x:t xml:space="preserve">. </x:t>
    </x:r>
    <x:r>
      <x:rPr>
        <x:sz val="10"/>
        <x:color rgb="FF000000"/>
        <x:rFont val="Noto Sans CJK SC"/>
        <x:family val="2"/>
      </x:rPr>
      <x:t xml:space="preserve">연장버킷 비</x:t>
    </x:r>
    <x:r>
      <x:rPr>
        <x:sz val="10"/>
        <x:color rgb="FF000000"/>
        <x:rFont val="Arial"/>
      </x:rPr>
      <x:t xml:space="preserve">-Musk</x:t>
    </x:r>
    <x:r>
      <x:rPr>
        <x:sz val="10"/>
        <x:color rgb="FF000000"/>
        <x:rFont val="Noto Sans CJK SC"/>
        <x:family val="2"/>
      </x:rPr>
      <x:t xml:space="preserve">분 </x:t>
    </x:r>
    <x:r>
      <x:rPr>
        <x:sz val="10"/>
        <x:color rgb="FF000000"/>
        <x:rFont val="Arial"/>
      </x:rPr>
      <x:t xml:space="preserve">20% </x:t>
    </x:r>
    <x:r>
      <x:rPr>
        <x:sz val="10"/>
        <x:color rgb="FF000000"/>
        <x:rFont val="Noto Sans CJK SC"/>
        <x:family val="2"/>
      </x:rPr>
      <x:t xml:space="preserve">조기 이전 개시</x:t>
    </x:r>
  </x:si>
  <x:si>
    <x:r>
      <x:rPr>
        <x:sz val="10"/>
        <x:color rgb="FF000000"/>
        <x:rFont val="Arial"/>
      </x:rPr>
      <x:t xml:space="preserve">Musk </x:t>
    </x:r>
    <x:r>
      <x:rPr>
        <x:sz val="10"/>
        <x:color rgb="FF000000"/>
        <x:rFont val="Noto Sans CJK SC"/>
        <x:family val="2"/>
      </x:rPr>
      <x:t xml:space="preserve">의결권 </x:t>
    </x:r>
    <x:r>
      <x:rPr>
        <x:sz val="10"/>
        <x:color rgb="FF000000"/>
        <x:rFont val="Arial"/>
      </x:rPr>
      <x:t xml:space="preserve">85.1%, 1</x:t>
    </x:r>
    <x:r>
      <x:rPr>
        <x:sz val="10"/>
        <x:color rgb="FF000000"/>
        <x:rFont val="Noto Sans CJK SC"/>
        <x:family val="2"/>
      </x:rPr>
      <x:t xml:space="preserve">년 보유는 긍정 시그널</x:t>
    </x:r>
  </x:si>
  <x:si>
    <x:r>
      <x:rPr>
        <x:b/>
        <x:sz val="10"/>
        <x:rFont val="Arial"/>
      </x:rPr>
      <x:t xml:space="preserve">~2027-08 (Q2 2027 </x:t>
    </x:r>
    <x:r>
      <x:rPr>
        <x:b/>
        <x:sz val="10"/>
        <x:rFont val="Noto Sans CJK SC"/>
        <x:family val="2"/>
      </x:rPr>
      <x:t xml:space="preserve">실적</x:t>
    </x:r>
    <x:r>
      <x:rPr>
        <x:b/>
        <x:sz val="10"/>
        <x:rFont val="Arial"/>
      </x:rPr>
      <x:t xml:space="preserve">)</x:t>
    </x:r>
  </x:si>
  <x:si>
    <x:t xml:space="preserve">연장 락업 버킷 만료</x:t>
  </x:si>
  <x:si>
    <x:r>
      <x:rPr>
        <x:sz val="10"/>
        <x:color rgb="FF000000"/>
        <x:rFont val="Noto Sans CJK SC"/>
        <x:family val="2"/>
      </x:rPr>
      <x:t xml:space="preserve">연장</x:t>
    </x:r>
    <x:r>
      <x:rPr>
        <x:sz val="10"/>
        <x:color rgb="FF000000"/>
        <x:rFont val="Arial"/>
      </x:rPr>
      <x:t xml:space="preserve">+Musk ≈ 7.8B</x:t>
    </x:r>
    <x:r>
      <x:rPr>
        <x:sz val="10"/>
        <x:color rgb="FF000000"/>
        <x:rFont val="Noto Sans CJK SC"/>
        <x:family val="2"/>
      </x:rPr>
      <x:t xml:space="preserve">주 </x:t>
    </x:r>
    <x:r>
      <x:rPr>
        <x:sz val="10"/>
        <x:color rgb="FF000000"/>
        <x:rFont val="Arial"/>
      </x:rPr>
      <x:t xml:space="preserve">(&gt;63%)</x:t>
    </x:r>
  </x:si>
  <x:si>
    <x:r>
      <x:rPr>
        <x:sz val="10"/>
        <x:color rgb="FF000000"/>
        <x:rFont val="Arial"/>
      </x:rPr>
      <x:t xml:space="preserve">Q2 2027 </x:t>
    </x:r>
    <x:r>
      <x:rPr>
        <x:sz val="10"/>
        <x:color rgb="FF000000"/>
        <x:rFont val="Noto Sans CJK SC"/>
        <x:family val="2"/>
      </x:rPr>
      <x:t xml:space="preserve">실적 </x:t>
    </x:r>
    <x:r>
      <x:rPr>
        <x:sz val="10"/>
        <x:color rgb="FF000000"/>
        <x:rFont val="Arial"/>
      </x:rPr>
      <x:t xml:space="preserve">2</x:t>
    </x:r>
    <x:r>
      <x:rPr>
        <x:sz val="10"/>
        <x:color rgb="FF000000"/>
        <x:rFont val="Noto Sans CJK SC"/>
        <x:family val="2"/>
      </x:rPr>
      <x:t xml:space="preserve">거래일 후 전량 해제</x:t>
    </x:r>
  </x:si>
  <x:si>
    <x:r>
      <x:rPr>
        <x:sz val="10"/>
        <x:color rgb="FF000000"/>
        <x:rFont val="Noto Sans CJK SC"/>
        <x:family val="2"/>
      </x:rPr>
      <x:t xml:space="preserve">★ 본격 오버행 절벽</x:t>
    </x:r>
    <x:r>
      <x:rPr>
        <x:sz val="10"/>
        <x:color rgb="FF000000"/>
        <x:rFont val="Arial"/>
      </x:rPr>
      <x:t xml:space="preserve">. </x:t>
    </x:r>
    <x:r>
      <x:rPr>
        <x:sz val="10"/>
        <x:color rgb="FF000000"/>
        <x:rFont val="Noto Sans CJK SC"/>
        <x:family val="2"/>
      </x:rPr>
      <x:t xml:space="preserve">대형 물량 최종 해제</x:t>
    </x:r>
  </x:si>
  <x:si>
    <x:t xml:space="preserve">상시</x:t>
  </x:si>
  <x:si>
    <x:t xml:space="preserve">등록권</x:t>
  </x:si>
  <x:si>
    <x:r>
      <x:rPr>
        <x:sz val="10"/>
        <x:color rgb="FF000000"/>
        <x:rFont val="Arial"/>
      </x:rPr>
      <x:t xml:space="preserve">~9.2B Class A</x:t>
    </x:r>
    <x:r>
      <x:rPr>
        <x:sz val="10"/>
        <x:color rgb="FF000000"/>
        <x:rFont val="Noto Sans CJK SC"/>
        <x:family val="2"/>
      </x:rPr>
      <x:t xml:space="preserve">주</x:t>
    </x:r>
  </x:si>
  <x:si>
    <x:r>
      <x:rPr>
        <x:sz val="10"/>
        <x:color rgb="FF000000"/>
        <x:rFont val="Noto Sans CJK SC"/>
        <x:family val="2"/>
      </x:rPr>
      <x:t xml:space="preserve">투자자권리계약상 등록권 — 등록 시 </x:t>
    </x:r>
    <x:r>
      <x:rPr>
        <x:sz val="10"/>
        <x:color rgb="FF000000"/>
        <x:rFont val="Arial"/>
      </x:rPr>
      <x:t xml:space="preserve">Rule 144 </x:t>
    </x:r>
    <x:r>
      <x:rPr>
        <x:sz val="10"/>
        <x:color rgb="FF000000"/>
        <x:rFont val="Noto Sans CJK SC"/>
        <x:family val="2"/>
      </x:rPr>
      <x:t xml:space="preserve">무관 자유거래</x:t>
    </x:r>
  </x:si>
  <x:si>
    <x:r>
      <x:rPr>
        <x:sz val="10"/>
        <x:color rgb="FF000000"/>
        <x:rFont val="Noto Sans CJK SC"/>
        <x:family val="2"/>
      </x:rPr>
      <x:t xml:space="preserve">락업 만료</x:t>
    </x:r>
    <x:r>
      <x:rPr>
        <x:sz val="10"/>
        <x:color rgb="FF000000"/>
        <x:rFont val="Arial"/>
      </x:rPr>
      <x:t xml:space="preserve">/</x:t>
    </x:r>
    <x:r>
      <x:rPr>
        <x:sz val="10"/>
        <x:color rgb="FF000000"/>
        <x:rFont val="Noto Sans CJK SC"/>
        <x:family val="2"/>
      </x:rPr>
      <x:t xml:space="preserve">면제에 종속</x:t>
    </x:r>
  </x:si>
  <x:si>
    <x:r>
      <x:rPr>
        <x:i/>
        <x:sz val="9"/>
        <x:color rgb="FF555555"/>
        <x:rFont val="Noto Sans CJK SC"/>
        <x:family val="2"/>
      </x:rPr>
      <x:t xml:space="preserve">범례</x:t>
    </x:r>
    <x:r>
      <x:rPr>
        <x:i/>
        <x:sz val="9"/>
        <x:color rgb="FF555555"/>
        <x:rFont val="Arial"/>
      </x:rPr>
      <x:t xml:space="preserve">: </x:t>
    </x:r>
    <x:r>
      <x:rPr>
        <x:i/>
        <x:sz val="9"/>
        <x:color rgb="FF555555"/>
        <x:rFont val="Noto Sans CJK SC"/>
        <x:family val="2"/>
      </x:rPr>
      <x:t xml:space="preserve">주황</x:t>
    </x:r>
    <x:r>
      <x:rPr>
        <x:i/>
        <x:sz val="9"/>
        <x:color rgb="FF555555"/>
        <x:rFont val="Arial"/>
      </x:rPr>
      <x:t xml:space="preserve">=</x:t>
    </x:r>
    <x:r>
      <x:rPr>
        <x:i/>
        <x:sz val="9"/>
        <x:color rgb="FF555555"/>
        <x:rFont val="Noto Sans CJK SC"/>
        <x:family val="2"/>
      </x:rPr>
      <x:t xml:space="preserve">주요 오버행 </x:t>
    </x:r>
    <x:r>
      <x:rPr>
        <x:i/>
        <x:sz val="9"/>
        <x:color rgb="FF555555"/>
        <x:rFont val="Arial"/>
      </x:rPr>
      <x:t xml:space="preserve">/ </x:t>
    </x:r>
    <x:r>
      <x:rPr>
        <x:i/>
        <x:sz val="9"/>
        <x:color rgb="FF555555"/>
        <x:rFont val="Noto Sans CJK SC"/>
        <x:family val="2"/>
      </x:rPr>
      <x:t xml:space="preserve">파랑</x:t>
    </x:r>
    <x:r>
      <x:rPr>
        <x:i/>
        <x:sz val="9"/>
        <x:color rgb="FF555555"/>
        <x:rFont val="Arial"/>
      </x:rPr>
      <x:t xml:space="preserve">=</x:t>
    </x:r>
    <x:r>
      <x:rPr>
        <x:i/>
        <x:sz val="9"/>
        <x:color rgb="FF555555"/>
        <x:rFont val="Noto Sans CJK SC"/>
        <x:family val="2"/>
      </x:rPr>
      <x:t xml:space="preserve">관찰 </x:t>
    </x:r>
    <x:r>
      <x:rPr>
        <x:i/>
        <x:sz val="9"/>
        <x:color rgb="FF555555"/>
        <x:rFont val="Arial"/>
      </x:rPr>
      <x:t xml:space="preserve">/ ★=</x:t>
    </x:r>
    <x:r>
      <x:rPr>
        <x:i/>
        <x:sz val="9"/>
        <x:color rgb="FF555555"/>
        <x:rFont val="Noto Sans CJK SC"/>
        <x:family val="2"/>
      </x:rPr>
      <x:t xml:space="preserve">핵심 분기점</x:t>
    </x:r>
  </x:si>
  <x:si>
    <x:r>
      <x:rPr>
        <x:i/>
        <x:sz val="9"/>
        <x:color rgb="FF555555"/>
        <x:rFont val="Noto Sans CJK SC"/>
        <x:family val="2"/>
      </x:rPr>
      <x:t xml:space="preserve">확정 사실</x:t>
    </x:r>
    <x:r>
      <x:rPr>
        <x:i/>
        <x:sz val="9"/>
        <x:color rgb="FF555555"/>
        <x:rFont val="Arial"/>
      </x:rPr>
      <x:t xml:space="preserve">(FWP): Musk 366</x:t>
    </x:r>
    <x:r>
      <x:rPr>
        <x:i/>
        <x:sz val="9"/>
        <x:color rgb="FF555555"/>
        <x:rFont val="Noto Sans CJK SC"/>
        <x:family val="2"/>
      </x:rPr>
      <x:t xml:space="preserve">일 </x:t>
    </x:r>
    <x:r>
      <x:rPr>
        <x:i/>
        <x:sz val="9"/>
        <x:color rgb="FF555555"/>
        <x:rFont val="Arial"/>
      </x:rPr>
      <x:t xml:space="preserve">/ </x:t>
    </x:r>
    <x:r>
      <x:rPr>
        <x:i/>
        <x:sz val="9"/>
        <x:color rgb="FF555555"/>
        <x:rFont val="Noto Sans CJK SC"/>
        <x:family val="2"/>
      </x:rPr>
      <x:t xml:space="preserve">연장버킷</x:t>
    </x:r>
    <x:r>
      <x:rPr>
        <x:i/>
        <x:sz val="9"/>
        <x:color rgb="FF555555"/>
        <x:rFont val="Arial"/>
      </x:rPr>
      <x:t xml:space="preserve">+Musk ≈7.8B</x:t>
    </x:r>
    <x:r>
      <x:rPr>
        <x:i/>
        <x:sz val="9"/>
        <x:color rgb="FF555555"/>
        <x:rFont val="Noto Sans CJK SC"/>
        <x:family val="2"/>
      </x:rPr>
      <x:t xml:space="preserve">주</x:t>
    </x:r>
    <x:r>
      <x:rPr>
        <x:i/>
        <x:sz val="9"/>
        <x:color rgb="FF555555"/>
        <x:rFont val="Arial"/>
      </x:rPr>
      <x:t xml:space="preserve">(&gt;63%)·Q2 2027</x:t>
    </x:r>
    <x:r>
      <x:rPr>
        <x:i/>
        <x:sz val="9"/>
        <x:color rgb="FF555555"/>
        <x:rFont val="Noto Sans CJK SC"/>
        <x:family val="2"/>
      </x:rPr>
      <x:t xml:space="preserve">까지 </x:t>
    </x:r>
    <x:r>
      <x:rPr>
        <x:i/>
        <x:sz val="9"/>
        <x:color rgb="FF555555"/>
        <x:rFont val="Arial"/>
      </x:rPr>
      <x:t xml:space="preserve">/ </x:t>
    </x:r>
    <x:r>
      <x:rPr>
        <x:i/>
        <x:sz val="9"/>
        <x:color rgb="FF555555"/>
        <x:rFont val="Noto Sans CJK SC"/>
        <x:family val="2"/>
      </x:rPr>
      <x:t xml:space="preserve">그 외 </x:t>
    </x:r>
    <x:r>
      <x:rPr>
        <x:i/>
        <x:sz val="9"/>
        <x:color rgb="FF555555"/>
        <x:rFont val="Arial"/>
      </x:rPr>
      <x:t xml:space="preserve">180</x:t>
    </x:r>
    <x:r>
      <x:rPr>
        <x:i/>
        <x:sz val="9"/>
        <x:color rgb="FF555555"/>
        <x:rFont val="Noto Sans CJK SC"/>
        <x:family val="2"/>
      </x:rPr>
      <x:t xml:space="preserve">일</x:t>
    </x:r>
    <x:r>
      <x:rPr>
        <x:i/>
        <x:sz val="9"/>
        <x:color rgb="FF555555"/>
        <x:rFont val="Arial"/>
      </x:rPr>
      <x:t xml:space="preserve">·Q3 2026 </x:t>
    </x:r>
    <x:r>
      <x:rPr>
        <x:i/>
        <x:sz val="9"/>
        <x:color rgb="FF555555"/>
        <x:rFont val="Noto Sans CJK SC"/>
        <x:family val="2"/>
      </x:rPr>
      <x:t xml:space="preserve">조기해제 </x:t>
    </x:r>
    <x:r>
      <x:rPr>
        <x:i/>
        <x:sz val="9"/>
        <x:color rgb="FF555555"/>
        <x:rFont val="Arial"/>
      </x:rPr>
      <x:t xml:space="preserve">/ </x:t>
    </x:r>
    <x:r>
      <x:rPr>
        <x:i/>
        <x:sz val="9"/>
        <x:color rgb="FF555555"/>
        <x:rFont val="Noto Sans CJK SC"/>
        <x:family val="2"/>
      </x:rPr>
      <x:t xml:space="preserve">등록권 </x:t>
    </x:r>
    <x:r>
      <x:rPr>
        <x:i/>
        <x:sz val="9"/>
        <x:color rgb="FF555555"/>
        <x:rFont val="Arial"/>
      </x:rPr>
      <x:t xml:space="preserve">~9.2B / Rule 144 ~12.2B(90</x:t>
    </x:r>
    <x:r>
      <x:rPr>
        <x:i/>
        <x:sz val="9"/>
        <x:color rgb="FF555555"/>
        <x:rFont val="Noto Sans CJK SC"/>
        <x:family val="2"/>
      </x:rPr>
      <x:t xml:space="preserve">일</x:t>
    </x:r>
    <x:r>
      <x:rPr>
        <x:i/>
        <x:sz val="9"/>
        <x:color rgb="FF555555"/>
        <x:rFont val="Arial"/>
      </x:rPr>
      <x:t xml:space="preserve">·</x:t>
    </x:r>
    <x:r>
      <x:rPr>
        <x:i/>
        <x:sz val="9"/>
        <x:color rgb="FF555555"/>
        <x:rFont val="Noto Sans CJK SC"/>
        <x:family val="2"/>
      </x:rPr>
      <x:t xml:space="preserve">락업종속</x:t>
    </x:r>
    <x:r>
      <x:rPr>
        <x:i/>
        <x:sz val="9"/>
        <x:color rgb="FF555555"/>
        <x:rFont val="Arial"/>
      </x:rPr>
      <x:t xml:space="preserve">).</x:t>
    </x:r>
  </x:si>
  <x:si>
    <x:r>
      <x:rPr>
        <x:i/>
        <x:sz val="9"/>
        <x:color rgb="FF555555"/>
        <x:rFont val="Noto Sans CJK SC"/>
        <x:family val="2"/>
      </x:rPr>
      <x:t xml:space="preserve">미확정</x:t>
    </x:r>
    <x:r>
      <x:rPr>
        <x:i/>
        <x:sz val="9"/>
        <x:color rgb="FF555555"/>
        <x:rFont val="Arial"/>
      </x:rPr>
      <x:t xml:space="preserve">(</x:t>
    </x:r>
    <x:r>
      <x:rPr>
        <x:i/>
        <x:sz val="9"/>
        <x:color rgb="FF555555"/>
        <x:rFont val="Noto Sans CJK SC"/>
        <x:family val="2"/>
      </x:rPr>
      <x:t xml:space="preserve">최종 투설 확인</x:t>
    </x:r>
    <x:r>
      <x:rPr>
        <x:i/>
        <x:sz val="9"/>
        <x:color rgb="FF555555"/>
        <x:rFont val="Arial"/>
      </x:rPr>
      <x:t xml:space="preserve">): </x:t>
    </x:r>
    <x:r>
      <x:rPr>
        <x:i/>
        <x:sz val="9"/>
        <x:color rgb="FF555555"/>
        <x:rFont val="Noto Sans CJK SC"/>
        <x:family val="2"/>
      </x:rPr>
      <x:t xml:space="preserve">각 버킷 </x:t>
    </x:r>
    <x:r>
      <x:rPr>
        <x:i/>
        <x:sz val="9"/>
        <x:color rgb="FF555555"/>
        <x:rFont val="Arial"/>
      </x:rPr>
      <x:t xml:space="preserve">lettered(a~f) </x:t>
    </x:r>
    <x:r>
      <x:rPr>
        <x:i/>
        <x:sz val="9"/>
        <x:color rgb="FF555555"/>
        <x:rFont val="Noto Sans CJK SC"/>
        <x:family val="2"/>
      </x:rPr>
      <x:t xml:space="preserve">조기해제 비율과 정확한 날짜</x:t>
    </x:r>
    <x:r>
      <x:rPr>
        <x:i/>
        <x:sz val="9"/>
        <x:color rgb="FF555555"/>
        <x:rFont val="Arial"/>
      </x:rPr>
      <x:t xml:space="preserve">, </x:t>
    </x:r>
    <x:r>
      <x:rPr>
        <x:i/>
        <x:sz val="9"/>
        <x:color rgb="FF555555"/>
        <x:rFont val="Noto Sans CJK SC"/>
        <x:family val="2"/>
      </x:rPr>
      <x:t xml:space="preserve">실제 해제 주식수</x:t>
    </x:r>
    <x:r>
      <x:rPr>
        <x:i/>
        <x:sz val="9"/>
        <x:color rgb="FF555555"/>
        <x:rFont val="Arial"/>
      </x:rPr>
      <x:t xml:space="preserve">.</x:t>
    </x:r>
  </x:si>
</x:sst>
</file>

<file path=xl/styles.xml><?xml version="1.0" encoding="utf-8"?>
<x:styleSheet xmlns:x="http://schemas.openxmlformats.org/spreadsheetml/2006/main">
  <x:numFmts count="18">
    <x:numFmt numFmtId="164" formatCode="General"/>
    <x:numFmt numFmtId="165" formatCode="#,##0.0"/>
    <x:numFmt numFmtId="166" formatCode="\$#,##0"/>
    <x:numFmt numFmtId="167" formatCode="0.0%"/>
    <x:numFmt numFmtId="168" formatCode="0.0\x"/>
    <x:numFmt numFmtId="169" formatCode="#,##0.000"/>
    <x:numFmt numFmtId="170" formatCode="\$#,##0.0;&quot;($&quot;#,##0.0\);\-"/>
    <x:numFmt numFmtId="171" formatCode="\$#,##0.00"/>
    <x:numFmt numFmtId="172" formatCode="#,##0"/>
    <x:numFmt numFmtId="173" formatCode="\$#,##0.0"/>
    <x:numFmt numFmtId="200" formatCode="$#,##0.00;[Red]($#,##0.00);-"/>
    <x:numFmt numFmtId="201" formatCode="0.000"/>
    <x:numFmt numFmtId="202" formatCode="0.0%;[Red](0.0%);-"/>
    <x:numFmt numFmtId="203" formatCode="$#,##0;[Red]($#,##0);-"/>
    <x:numFmt numFmtId="204" formatCode="$#,##0.0;[Red]($#,##0.0);-"/>
    <x:numFmt numFmtId="205" formatCode="0.0"/>
    <x:numFmt numFmtId="206" formatCode="0.0x"/>
    <x:numFmt numFmtId="207" formatCode="yyyy-mm-dd"/>
  </x:numFmts>
  <x:fonts count="23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name val="Arial"/>
    </x:font>
    <x:font>
      <x:b/>
      <x:sz val="13"/>
      <x:name val="Noto Sans CJK SC"/>
    </x:font>
    <x:font>
      <x:i/>
      <x:sz val="9"/>
      <x:color rgb="555555"/>
      <x:name val="Noto Sans CJK SC"/>
    </x:font>
    <x:font>
      <x:i/>
      <x:sz val="9"/>
      <x:color rgb="555555"/>
      <x:name val="Arial"/>
    </x:font>
    <x:font>
      <x:b/>
      <x:sz val="10"/>
      <x:color rgb="FFFFFF"/>
      <x:name val="Arial"/>
    </x:font>
    <x:font>
      <x:b/>
      <x:sz val="10"/>
      <x:color rgb="FFFFFF"/>
      <x:name val="Noto Sans CJK SC"/>
    </x:font>
    <x:font>
      <x:sz val="10"/>
      <x:color rgb="000000"/>
      <x:name val="Noto Sans CJK SC"/>
    </x:font>
    <x:font>
      <x:sz val="10"/>
      <x:color rgb="000000"/>
      <x:name val="Arial"/>
    </x:font>
    <x:font>
      <x:sz val="10"/>
      <x:color rgb="0000FF"/>
      <x:name val="Arial"/>
    </x:font>
    <x:font>
      <x:b/>
      <x:sz val="10"/>
      <x:name val="Arial"/>
    </x:font>
    <x:font>
      <x:b/>
      <x:sz val="10"/>
      <x:name val="Noto Sans CJK SC"/>
    </x:font>
    <x:font>
      <x:sz val="10"/>
      <x:name val="Arial"/>
    </x:font>
    <x:font>
      <x:sz val="10"/>
      <x:name val="Noto Sans CJK SC"/>
    </x:font>
    <x:font>
      <x:b/>
      <x:sz val="11"/>
      <x:color rgb="FFFFFF"/>
      <x:name val="Calibri"/>
    </x:font>
    <x:font>
      <x:b/>
      <x:sz val="14"/>
      <x:color rgb="FFFFFF"/>
      <x:name val="Calibri"/>
    </x:font>
    <x:font>
      <x:i/>
      <x:sz val="11"/>
      <x:color rgb="666666"/>
      <x:name val="Calibri"/>
    </x:font>
    <x:font>
      <x:b/>
      <x:sz val="11"/>
      <x:color theme="1"/>
      <x:name val="Calibri"/>
    </x:font>
    <x:font>
      <x:sz val="11"/>
      <x:color rgb="0000FF"/>
      <x:name val="Calibri"/>
    </x:font>
    <x:font>
      <x:sz val="11"/>
      <x:color rgb="000000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1F3864"/>
      </x:patternFill>
    </x:fill>
    <x:fill>
      <x:patternFill patternType="solid">
        <x:fgColor rgb="FFFF00"/>
      </x:patternFill>
    </x:fill>
    <x:fill>
      <x:patternFill patternType="solid">
        <x:fgColor rgb="DDEBF7"/>
      </x:patternFill>
    </x:fill>
    <x:fill>
      <x:patternFill patternType="solid">
        <x:fgColor rgb="D9D9D9"/>
      </x:patternFill>
    </x:fill>
    <x:fill>
      <x:patternFill patternType="solid">
        <x:fgColor rgb="FCE4D6"/>
      </x:patternFill>
    </x:fill>
    <x:fill>
      <x:patternFill patternType="solid">
        <x:fgColor rgb="1F3A5F"/>
      </x:patternFill>
    </x:fill>
    <x:fill>
      <x:patternFill patternType="solid">
        <x:fgColor rgb="D9E2F3"/>
      </x:patternFill>
    </x:fill>
    <x:fill>
      <x:patternFill patternType="solid">
        <x:fgColor rgb="F4CCCC"/>
      </x:patternFill>
    </x:fill>
    <x:fill>
      <x:patternFill patternType="solid">
        <x:fgColor rgb="FCE4D6"/>
      </x:patternFill>
    </x:fill>
    <x:fill>
      <x:patternFill patternType="solid">
        <x:fgColor rgb="D9EAD3"/>
      </x:patternFill>
    </x:fill>
    <x:fill>
      <x:patternFill patternType="solid">
        <x:fgColor rgb="FFFF00"/>
      </x:patternFill>
    </x:fill>
    <x:fill>
      <x:patternFill patternType="solid">
        <x:fgColor rgb="BFBFBF"/>
      </x:patternFill>
    </x:fill>
  </x:fills>
  <x:borders count="4">
    <x:border diagonalUp="0" diagonalDown="0"/>
    <x:border diagonalUp="0" diagonalDown="0"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  <x:border diagonalUp="0" diagonalDown="0"/>
    <x:border diagonalUp="0" diagonalDown="0"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36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8" fillId="2" borderId="0" xfId="0" applyFont="1" applyBorder="0" applyAlignment="0">
      <x:alignment horizontal="general" vertical="bottom" wrapText="0"/>
    </x:xf>
    <x:xf numFmtId="164" fontId="0" fillId="2" borderId="0" xfId="0" applyFont="0" applyBorder="0" applyAlignment="0">
      <x:alignment horizontal="general" vertical="bottom" wrapText="0"/>
    </x:xf>
    <x:xf numFmtId="164" fontId="10" fillId="0" borderId="0" xfId="0" applyFont="1" applyBorder="0" applyAlignment="0">
      <x:alignment horizontal="general" vertical="bottom" wrapText="0"/>
    </x:xf>
    <x:xf numFmtId="165" fontId="12" fillId="3" borderId="1" xfId="0" applyFont="1" applyBorder="1" applyAlignment="0">
      <x:alignment horizontal="general" vertical="bottom" wrapText="0"/>
    </x:xf>
    <x:xf numFmtId="164" fontId="11" fillId="0" borderId="0" xfId="0" applyFont="1" applyBorder="0" applyAlignment="0">
      <x:alignment horizontal="general" vertical="bottom" wrapText="0"/>
    </x:xf>
    <x:xf numFmtId="166" fontId="12" fillId="3" borderId="1" xfId="0" applyFont="1" applyBorder="1" applyAlignment="0">
      <x:alignment horizontal="general" vertical="bottom" wrapText="0"/>
    </x:xf>
    <x:xf numFmtId="167" fontId="12" fillId="3" borderId="1" xfId="0" applyFont="1" applyBorder="1" applyAlignment="0">
      <x:alignment horizontal="general" vertical="bottom" wrapText="0"/>
    </x:xf>
    <x:xf numFmtId="168" fontId="12" fillId="3" borderId="1" xfId="0" applyFont="1" applyBorder="1" applyAlignment="0">
      <x:alignment horizontal="general" vertical="bottom" wrapText="0"/>
    </x:xf>
    <x:xf numFmtId="169" fontId="12" fillId="3" borderId="1" xfId="0" applyFont="1" applyBorder="1" applyAlignment="0">
      <x:alignment horizontal="general" vertical="bottom" wrapText="0"/>
    </x:xf>
    <x:xf numFmtId="164" fontId="9" fillId="2" borderId="0" xfId="0" applyFont="1" applyBorder="0" applyAlignment="0">
      <x:alignment horizontal="general" vertical="bottom" wrapText="0"/>
    </x:xf>
    <x:xf numFmtId="170" fontId="11" fillId="0" borderId="1" xfId="0" applyFont="1" applyBorder="1" applyAlignment="0">
      <x:alignment horizontal="general" vertical="bottom" wrapText="0"/>
    </x:xf>
    <x:xf numFmtId="164" fontId="13" fillId="0" borderId="0" xfId="0" applyFont="1" applyBorder="0" applyAlignment="0">
      <x:alignment horizontal="general" vertical="bottom" wrapText="0"/>
    </x:xf>
    <x:xf numFmtId="171" fontId="13" fillId="4" borderId="1" xfId="0" applyFont="1" applyBorder="1" applyAlignment="0">
      <x:alignment horizontal="general" vertical="bottom" wrapText="0"/>
    </x:xf>
    <x:xf numFmtId="167" fontId="13" fillId="4" borderId="1" xfId="0" applyFont="1" applyBorder="1" applyAlignment="0">
      <x:alignment horizontal="general" vertical="bottom" wrapText="0"/>
    </x:xf>
    <x:xf numFmtId="171" fontId="11" fillId="0" borderId="1" xfId="0" applyFont="1" applyBorder="1" applyAlignment="0">
      <x:alignment horizontal="general" vertical="bottom" wrapText="0"/>
    </x:xf>
    <x:xf numFmtId="164" fontId="14" fillId="0" borderId="0" xfId="0" applyFont="1" applyBorder="0" applyAlignment="0">
      <x:alignment horizontal="general" vertical="bottom" wrapText="0"/>
    </x:xf>
    <x:xf numFmtId="164" fontId="14" fillId="5" borderId="1" xfId="0" applyFont="1" applyBorder="1" applyAlignment="1">
      <x:alignment horizontal="center" vertical="bottom" wrapText="0"/>
    </x:xf>
    <x:xf numFmtId="164" fontId="13" fillId="5" borderId="1" xfId="0" applyFont="1" applyBorder="1" applyAlignment="1">
      <x:alignment horizontal="center" vertical="bottom" wrapText="0"/>
    </x:xf>
    <x:xf numFmtId="164" fontId="10" fillId="0" borderId="1" xfId="0" applyFont="1" applyBorder="1" applyAlignment="0">
      <x:alignment horizontal="general" vertical="bottom" wrapText="0"/>
    </x:xf>
    <x:xf numFmtId="167" fontId="11" fillId="0" borderId="1" xfId="0" applyFont="1" applyBorder="1" applyAlignment="0">
      <x:alignment horizontal="general" vertical="bottom" wrapText="0"/>
    </x:xf>
    <x:xf numFmtId="164" fontId="14" fillId="5" borderId="1" xfId="0" applyFont="1" applyBorder="1" applyAlignment="0">
      <x:alignment horizontal="general" vertical="bottom" wrapText="0"/>
    </x:xf>
    <x:xf numFmtId="168" fontId="13" fillId="5" borderId="1" xfId="0" applyFont="1" applyBorder="1" applyAlignment="1">
      <x:alignment horizontal="center" vertical="bottom" wrapText="0"/>
    </x:xf>
    <x:xf numFmtId="172" fontId="13" fillId="5" borderId="1" xfId="0" applyFont="1" applyBorder="1" applyAlignment="0">
      <x:alignment horizontal="general" vertical="bottom" wrapText="0"/>
    </x:xf>
    <x:xf numFmtId="173" fontId="11" fillId="0" borderId="1" xfId="0" applyFont="1" applyBorder="1" applyAlignment="0">
      <x:alignment horizontal="general" vertical="bottom" wrapText="0"/>
    </x:xf>
    <x:xf numFmtId="164" fontId="7" fillId="0" borderId="0" xfId="0" applyFont="1" applyBorder="0" applyAlignment="0">
      <x:alignment horizontal="general" vertical="bottom" wrapText="0"/>
    </x:xf>
    <x:xf numFmtId="164" fontId="9" fillId="2" borderId="1" xfId="0" applyFont="1" applyBorder="1" applyAlignment="1">
      <x:alignment horizontal="center" vertical="center" wrapText="0"/>
    </x:xf>
    <x:xf numFmtId="164" fontId="13" fillId="0" borderId="1" xfId="0" applyFont="1" applyBorder="1" applyAlignment="1">
      <x:alignment horizontal="general" vertical="top" wrapText="1"/>
    </x:xf>
    <x:xf numFmtId="164" fontId="11" fillId="0" borderId="1" xfId="0" applyFont="1" applyBorder="1" applyAlignment="1">
      <x:alignment horizontal="general" vertical="top" wrapText="1"/>
    </x:xf>
    <x:xf numFmtId="164" fontId="10" fillId="0" borderId="1" xfId="0" applyFont="1" applyBorder="1" applyAlignment="1">
      <x:alignment horizontal="general" vertical="top" wrapText="1"/>
    </x:xf>
    <x:xf numFmtId="164" fontId="13" fillId="4" borderId="1" xfId="0" applyFont="1" applyBorder="1" applyAlignment="1">
      <x:alignment horizontal="general" vertical="top" wrapText="1"/>
    </x:xf>
    <x:xf numFmtId="164" fontId="13" fillId="6" borderId="1" xfId="0" applyFont="1" applyBorder="1" applyAlignment="1">
      <x:alignment horizontal="general" vertical="top" wrapText="1"/>
    </x:xf>
    <x:xf numFmtId="164" fontId="14" fillId="4" borderId="1" xfId="0" applyFont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0" borderId="2" xfId="0" applyNumberFormat="1" applyFont="1" applyFill="1" applyBorder="1" applyAlignment="1">
      <x:alignment horizontal="general" vertical="bottom" wrapText="0"/>
    </x:xf>
    <x:xf numFmtId="164" fontId="6" fillId="0" borderId="2" xfId="0" applyNumberFormat="1" applyFont="1" applyFill="1" applyBorder="1" applyAlignment="1">
      <x:alignment horizontal="general" vertical="bottom" wrapText="0"/>
    </x:xf>
    <x:xf numFmtId="164" fontId="8" fillId="2" borderId="2" xfId="0" applyNumberFormat="1" applyFont="1" applyFill="1" applyBorder="1" applyAlignment="1">
      <x:alignment horizontal="general" vertical="bottom" wrapText="0"/>
    </x:xf>
    <x:xf numFmtId="164" fontId="0" fillId="2" borderId="2" xfId="0" applyNumberFormat="1" applyFont="1" applyFill="1" applyBorder="1" applyAlignment="1">
      <x:alignment horizontal="general" vertical="bottom" wrapText="0"/>
    </x:xf>
    <x:xf numFmtId="164" fontId="10" fillId="0" borderId="2" xfId="0" applyNumberFormat="1" applyFont="1" applyFill="1" applyBorder="1" applyAlignment="1">
      <x:alignment horizontal="general" vertical="bottom" wrapText="0"/>
    </x:xf>
    <x:xf numFmtId="165" fontId="12" fillId="3" borderId="3" xfId="0" applyNumberFormat="1" applyFont="1" applyFill="1" applyBorder="1" applyAlignment="1">
      <x:alignment horizontal="general" vertical="bottom" wrapText="0"/>
    </x:xf>
    <x:xf numFmtId="164" fontId="11" fillId="0" borderId="2" xfId="0" applyNumberFormat="1" applyFont="1" applyFill="1" applyBorder="1" applyAlignment="1">
      <x:alignment horizontal="general" vertical="bottom" wrapText="0"/>
    </x:xf>
    <x:xf numFmtId="166" fontId="12" fillId="3" borderId="3" xfId="0" applyNumberFormat="1" applyFont="1" applyFill="1" applyBorder="1" applyAlignment="1">
      <x:alignment horizontal="general" vertical="bottom" wrapText="0"/>
    </x:xf>
    <x:xf numFmtId="167" fontId="12" fillId="3" borderId="3" xfId="0" applyNumberFormat="1" applyFont="1" applyFill="1" applyBorder="1" applyAlignment="1">
      <x:alignment horizontal="general" vertical="bottom" wrapText="0"/>
    </x:xf>
    <x:xf numFmtId="168" fontId="12" fillId="3" borderId="3" xfId="0" applyNumberFormat="1" applyFont="1" applyFill="1" applyBorder="1" applyAlignment="1">
      <x:alignment horizontal="general" vertical="bottom" wrapText="0"/>
    </x:xf>
    <x:xf numFmtId="169" fontId="12" fillId="3" borderId="3" xfId="0" applyNumberFormat="1" applyFont="1" applyFill="1" applyBorder="1" applyAlignment="1">
      <x:alignment horizontal="general" vertical="bottom" wrapText="0"/>
    </x:xf>
    <x:xf numFmtId="164" fontId="9" fillId="2" borderId="2" xfId="0" applyNumberFormat="1" applyFont="1" applyFill="1" applyBorder="1" applyAlignment="1">
      <x:alignment horizontal="general" vertical="bottom" wrapText="0"/>
    </x:xf>
    <x:xf numFmtId="170" fontId="11" fillId="0" borderId="3" xfId="0" applyNumberFormat="1" applyFont="1" applyFill="1" applyBorder="1" applyAlignment="1">
      <x:alignment horizontal="general" vertical="bottom" wrapText="0"/>
    </x:xf>
    <x:xf numFmtId="164" fontId="13" fillId="0" borderId="2" xfId="0" applyNumberFormat="1" applyFont="1" applyFill="1" applyBorder="1" applyAlignment="1">
      <x:alignment horizontal="general" vertical="bottom" wrapText="0"/>
    </x:xf>
    <x:xf numFmtId="171" fontId="13" fillId="4" borderId="3" xfId="0" applyNumberFormat="1" applyFont="1" applyFill="1" applyBorder="1" applyAlignment="1">
      <x:alignment horizontal="general" vertical="bottom" wrapText="0"/>
    </x:xf>
    <x:xf numFmtId="167" fontId="13" fillId="4" borderId="3" xfId="0" applyNumberFormat="1" applyFont="1" applyFill="1" applyBorder="1" applyAlignment="1">
      <x:alignment horizontal="general" vertical="bottom" wrapText="0"/>
    </x:xf>
    <x:xf numFmtId="171" fontId="11" fillId="0" borderId="3" xfId="0" applyNumberFormat="1" applyFont="1" applyFill="1" applyBorder="1" applyAlignment="1">
      <x:alignment horizontal="general" vertical="bottom" wrapText="0"/>
    </x:xf>
    <x:xf numFmtId="164" fontId="14" fillId="0" borderId="2" xfId="0" applyNumberFormat="1" applyFont="1" applyFill="1" applyBorder="1" applyAlignment="1">
      <x:alignment horizontal="general" vertical="bottom" wrapText="0"/>
    </x:xf>
    <x:xf numFmtId="164" fontId="14" fillId="5" borderId="3" xfId="0" applyNumberFormat="1" applyFont="1" applyFill="1" applyBorder="1" applyAlignment="1">
      <x:alignment horizontal="center" vertical="bottom" wrapText="0"/>
    </x:xf>
    <x:xf numFmtId="164" fontId="13" fillId="5" borderId="3" xfId="0" applyNumberFormat="1" applyFont="1" applyFill="1" applyBorder="1" applyAlignment="1">
      <x:alignment horizontal="center" vertical="bottom" wrapText="0"/>
    </x:xf>
    <x:xf numFmtId="164" fontId="10" fillId="0" borderId="3" xfId="0" applyNumberFormat="1" applyFont="1" applyFill="1" applyBorder="1" applyAlignment="1">
      <x:alignment horizontal="general" vertical="bottom" wrapText="0"/>
    </x:xf>
    <x:xf numFmtId="167" fontId="11" fillId="0" borderId="3" xfId="0" applyNumberFormat="1" applyFont="1" applyFill="1" applyBorder="1" applyAlignment="1">
      <x:alignment horizontal="general" vertical="bottom" wrapText="0"/>
    </x:xf>
    <x:xf numFmtId="164" fontId="14" fillId="5" borderId="3" xfId="0" applyNumberFormat="1" applyFont="1" applyFill="1" applyBorder="1" applyAlignment="1">
      <x:alignment horizontal="general" vertical="bottom" wrapText="0"/>
    </x:xf>
    <x:xf numFmtId="168" fontId="13" fillId="5" borderId="3" xfId="0" applyNumberFormat="1" applyFont="1" applyFill="1" applyBorder="1" applyAlignment="1">
      <x:alignment horizontal="center" vertical="bottom" wrapText="0"/>
    </x:xf>
    <x:xf numFmtId="172" fontId="13" fillId="5" borderId="3" xfId="0" applyNumberFormat="1" applyFont="1" applyFill="1" applyBorder="1" applyAlignment="1">
      <x:alignment horizontal="general" vertical="bottom" wrapText="0"/>
    </x:xf>
    <x:xf numFmtId="173" fontId="11" fillId="0" borderId="3" xfId="0" applyNumberFormat="1" applyFont="1" applyFill="1" applyBorder="1" applyAlignment="1">
      <x:alignment horizontal="general" vertical="bottom" wrapText="0"/>
    </x:xf>
    <x:xf numFmtId="164" fontId="7" fillId="0" borderId="2" xfId="0" applyNumberFormat="1" applyFont="1" applyFill="1" applyBorder="1" applyAlignment="1">
      <x:alignment horizontal="general" vertical="bottom" wrapText="0"/>
    </x:xf>
    <x:xf numFmtId="164" fontId="9" fillId="2" borderId="3" xfId="0" applyNumberFormat="1" applyFont="1" applyFill="1" applyBorder="1" applyAlignment="1">
      <x:alignment horizontal="center" vertical="center" wrapText="0"/>
    </x:xf>
    <x:xf numFmtId="164" fontId="13" fillId="0" borderId="3" xfId="0" applyNumberFormat="1" applyFont="1" applyFill="1" applyBorder="1" applyAlignment="1">
      <x:alignment horizontal="general" vertical="top" wrapText="1"/>
    </x:xf>
    <x:xf numFmtId="164" fontId="11" fillId="0" borderId="3" xfId="0" applyNumberFormat="1" applyFont="1" applyFill="1" applyBorder="1" applyAlignment="1">
      <x:alignment horizontal="general" vertical="top" wrapText="1"/>
    </x:xf>
    <x:xf numFmtId="164" fontId="10" fillId="0" borderId="3" xfId="0" applyNumberFormat="1" applyFont="1" applyFill="1" applyBorder="1" applyAlignment="1">
      <x:alignment horizontal="general" vertical="top" wrapText="1"/>
    </x:xf>
    <x:xf numFmtId="164" fontId="13" fillId="4" borderId="3" xfId="0" applyNumberFormat="1" applyFont="1" applyFill="1" applyBorder="1" applyAlignment="1">
      <x:alignment horizontal="general" vertical="top" wrapText="1"/>
    </x:xf>
    <x:xf numFmtId="164" fontId="13" fillId="6" borderId="3" xfId="0" applyNumberFormat="1" applyFont="1" applyFill="1" applyBorder="1" applyAlignment="1">
      <x:alignment horizontal="general" vertical="top" wrapText="1"/>
    </x:xf>
    <x:xf numFmtId="164" fontId="14" fillId="4" borderId="3" xfId="0" applyNumberFormat="1" applyFont="1" applyFill="1" applyBorder="1" applyAlignment="1">
      <x:alignment horizontal="general" vertical="top" wrapText="1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7" fillId="7" borderId="0" xfId="0" applyNumberFormat="1" applyFont="1" applyFill="1" applyBorder="1" applyAlignment="1">
      <x:alignment horizontal="general" vertical="bottom" wrapText="0"/>
    </x:xf>
    <x:xf numFmtId="164" fontId="17" fillId="7" borderId="0" xfId="0" applyNumberFormat="1" applyFont="1" applyFill="1" applyBorder="1" applyAlignment="1">
      <x:alignment horizontal="center" vertical="bottom" wrapText="0"/>
    </x:xf>
    <x:xf numFmtId="164" fontId="0" fillId="7" borderId="2" xfId="0" applyNumberFormat="1" applyFont="1" applyFill="1" applyBorder="1" applyAlignment="1">
      <x:alignment horizontal="general" vertical="bottom" wrapText="0"/>
    </x:xf>
    <x:xf numFmtId="164" fontId="17" fillId="7" borderId="2" xfId="0" applyNumberFormat="1" applyFont="1" applyFill="1" applyBorder="1" applyAlignment="1">
      <x:alignment horizontal="general" vertical="bottom" wrapText="0"/>
    </x:xf>
    <x:xf numFmtId="164" fontId="17" fillId="7" borderId="2" xfId="0" applyNumberFormat="1" applyFont="1" applyFill="1" applyBorder="1" applyAlignment="1">
      <x:alignment horizontal="center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bottom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164" fontId="17" fillId="7" borderId="1" xfId="0" applyNumberFormat="1" applyFont="1" applyFill="1" applyBorder="1" applyAlignment="1">
      <x:alignment horizontal="center" vertical="bottom" wrapText="0"/>
    </x:xf>
    <x:xf numFmtId="164" fontId="0" fillId="0" borderId="1" xfId="0" applyNumberFormat="1" applyFont="1" applyFill="1" applyBorder="1" applyAlignment="1">
      <x:alignment horizontal="general" vertical="top" wrapText="1"/>
    </x:xf>
    <x:xf numFmtId="164" fontId="17" fillId="7" borderId="3" xfId="0" applyNumberFormat="1" applyFont="1" applyFill="1" applyBorder="1" applyAlignment="1">
      <x:alignment horizontal="center" vertical="bottom" wrapText="0"/>
    </x:xf>
    <x:xf numFmtId="164" fontId="0" fillId="0" borderId="3" xfId="0" applyNumberFormat="1" applyFont="1" applyFill="1" applyBorder="1" applyAlignment="1">
      <x:alignment horizontal="general" vertical="top" wrapText="1"/>
    </x:xf>
    <x:xf numFmtId="164" fontId="18" fillId="7" borderId="0" xfId="0" applyNumberFormat="1" applyFont="1" applyFill="1" applyBorder="1" applyAlignment="1">
      <x:alignment horizontal="general" vertical="bottom" wrapText="0"/>
    </x:xf>
    <x:xf numFmtId="164" fontId="18" fillId="7" borderId="0" xfId="0" applyNumberFormat="1" applyFont="1" applyFill="1" applyBorder="1" applyAlignment="1">
      <x:alignment horizontal="left" vertical="bottom" wrapText="0"/>
    </x:xf>
    <x:xf numFmtId="164" fontId="18" fillId="7" borderId="2" xfId="0" applyNumberFormat="1" applyFont="1" applyFill="1" applyBorder="1" applyAlignment="1">
      <x:alignment horizontal="general" vertical="bottom" wrapText="0"/>
    </x:xf>
    <x:xf numFmtId="164" fontId="18" fillId="7" borderId="2" xfId="0" applyNumberFormat="1" applyFont="1" applyFill="1" applyBorder="1" applyAlignment="1">
      <x:alignment horizontal="left" vertical="bottom" wrapText="0"/>
    </x:xf>
    <x:xf numFmtId="164" fontId="19" fillId="0" borderId="0" xfId="0" applyNumberFormat="1" applyFont="1" applyFill="1" applyBorder="1" applyAlignment="1">
      <x:alignment horizontal="general" vertical="bottom" wrapText="0"/>
    </x:xf>
    <x:xf numFmtId="164" fontId="19" fillId="0" borderId="0" xfId="0" applyNumberFormat="1" applyFont="1" applyFill="1" applyBorder="1" applyAlignment="1">
      <x:alignment horizontal="general" vertical="bottom" wrapText="1"/>
    </x:xf>
    <x:xf numFmtId="164" fontId="19" fillId="0" borderId="2" xfId="0" applyNumberFormat="1" applyFont="1" applyFill="1" applyBorder="1" applyAlignment="1">
      <x:alignment horizontal="general" vertical="bottom" wrapText="0"/>
    </x:xf>
    <x:xf numFmtId="164" fontId="19" fillId="0" borderId="2" xfId="0" applyNumberFormat="1" applyFont="1" applyFill="1" applyBorder="1" applyAlignment="1">
      <x:alignment horizontal="general" vertical="bottom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20" fillId="8" borderId="0" xfId="0" applyNumberFormat="1" applyFont="1" applyFill="1" applyBorder="1" applyAlignment="1">
      <x:alignment horizontal="general" vertical="bottom" wrapText="0"/>
    </x:xf>
    <x:xf numFmtId="164" fontId="0" fillId="8" borderId="2" xfId="0" applyNumberFormat="1" applyFont="1" applyFill="1" applyBorder="1" applyAlignment="1">
      <x:alignment horizontal="general" vertical="bottom" wrapText="0"/>
    </x:xf>
    <x:xf numFmtId="164" fontId="20" fillId="8" borderId="2" xfId="0" applyNumberFormat="1" applyFont="1" applyFill="1" applyBorder="1" applyAlignment="1">
      <x:alignment horizontal="general" vertical="bottom" wrapText="0"/>
    </x:xf>
    <x:xf numFmtId="164" fontId="20" fillId="8" borderId="1" xfId="0" applyNumberFormat="1" applyFont="1" applyFill="1" applyBorder="1" applyAlignment="1">
      <x:alignment horizontal="general" vertical="bottom" wrapText="0"/>
    </x:xf>
    <x:xf numFmtId="164" fontId="0" fillId="0" borderId="1" xfId="0" applyNumberFormat="1" applyFont="1" applyFill="1" applyBorder="1" applyAlignment="1">
      <x:alignment horizontal="general" vertical="bottom" wrapText="0"/>
    </x:xf>
    <x:xf numFmtId="164" fontId="20" fillId="8" borderId="3" xfId="0" applyNumberFormat="1" applyFont="1" applyFill="1" applyBorder="1" applyAlignment="1">
      <x:alignment horizontal="general" vertical="bottom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0" fillId="0" borderId="1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17" fillId="7" borderId="0" xfId="0" applyNumberFormat="1" applyFont="1" applyFill="1" applyBorder="1" applyAlignment="1">
      <x:alignment horizontal="general" vertical="bottom" wrapText="1"/>
    </x:xf>
    <x:xf numFmtId="164" fontId="17" fillId="7" borderId="0" xfId="0" applyNumberFormat="1" applyFont="1" applyFill="1" applyBorder="1" applyAlignment="1">
      <x:alignment horizontal="center" vertical="bottom" wrapText="1"/>
    </x:xf>
    <x:xf numFmtId="164" fontId="17" fillId="7" borderId="2" xfId="0" applyNumberFormat="1" applyFont="1" applyFill="1" applyBorder="1" applyAlignment="1">
      <x:alignment horizontal="general" vertical="bottom" wrapText="1"/>
    </x:xf>
    <x:xf numFmtId="164" fontId="17" fillId="7" borderId="2" xfId="0" applyNumberFormat="1" applyFont="1" applyFill="1" applyBorder="1" applyAlignment="1">
      <x:alignment horizontal="center" vertical="bottom" wrapText="1"/>
    </x:xf>
    <x:xf numFmtId="164" fontId="17" fillId="7" borderId="1" xfId="0" applyNumberFormat="1" applyFont="1" applyFill="1" applyBorder="1" applyAlignment="1">
      <x:alignment horizontal="center" vertical="bottom" wrapText="1"/>
    </x:xf>
    <x:xf numFmtId="164" fontId="17" fillId="7" borderId="3" xfId="0" applyNumberFormat="1" applyFont="1" applyFill="1" applyBorder="1" applyAlignment="1">
      <x:alignment horizontal="center" vertical="bottom" wrapText="1"/>
    </x:xf>
    <x:xf numFmtId="164" fontId="0" fillId="9" borderId="1" xfId="0" applyNumberFormat="1" applyFont="1" applyFill="1" applyBorder="1" applyAlignment="1">
      <x:alignment horizontal="general" vertical="top" wrapText="1"/>
    </x:xf>
    <x:xf numFmtId="164" fontId="0" fillId="9" borderId="3" xfId="0" applyNumberFormat="1" applyFont="1" applyFill="1" applyBorder="1" applyAlignment="1">
      <x:alignment horizontal="general" vertical="top" wrapText="1"/>
    </x:xf>
    <x:xf numFmtId="164" fontId="0" fillId="10" borderId="1" xfId="0" applyNumberFormat="1" applyFont="1" applyFill="1" applyBorder="1" applyAlignment="1">
      <x:alignment horizontal="general" vertical="top" wrapText="1"/>
    </x:xf>
    <x:xf numFmtId="164" fontId="0" fillId="10" borderId="3" xfId="0" applyNumberFormat="1" applyFont="1" applyFill="1" applyBorder="1" applyAlignment="1">
      <x:alignment horizontal="general" vertical="top" wrapText="1"/>
    </x:xf>
    <x:xf numFmtId="164" fontId="0" fillId="11" borderId="1" xfId="0" applyNumberFormat="1" applyFont="1" applyFill="1" applyBorder="1" applyAlignment="1">
      <x:alignment horizontal="general" vertical="top" wrapText="1"/>
    </x:xf>
    <x:xf numFmtId="164" fontId="0" fillId="11" borderId="3" xfId="0" applyNumberFormat="1" applyFont="1" applyFill="1" applyBorder="1" applyAlignment="1">
      <x:alignment horizontal="general" vertical="top" wrapText="1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21" fillId="12" borderId="0" xfId="0" applyNumberFormat="1" applyFont="1" applyFill="1" applyBorder="1" applyAlignment="1">
      <x:alignment horizontal="general" vertical="bottom" wrapText="0"/>
    </x:xf>
    <x:xf numFmtId="164" fontId="0" fillId="12" borderId="2" xfId="0" applyNumberFormat="1" applyFont="1" applyFill="1" applyBorder="1" applyAlignment="1">
      <x:alignment horizontal="general" vertical="bottom" wrapText="0"/>
    </x:xf>
    <x:xf numFmtId="164" fontId="21" fillId="12" borderId="2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21" fillId="11" borderId="0" xfId="0" applyNumberFormat="1" applyFont="1" applyFill="1" applyBorder="1" applyAlignment="1">
      <x:alignment horizontal="general" vertical="bottom" wrapText="0"/>
    </x:xf>
    <x:xf numFmtId="164" fontId="22" fillId="11" borderId="0" xfId="0" applyNumberFormat="1" applyFont="1" applyFill="1" applyBorder="1" applyAlignment="1">
      <x:alignment horizontal="general" vertical="bottom" wrapText="0"/>
    </x:xf>
    <x:xf numFmtId="164" fontId="0" fillId="11" borderId="2" xfId="0" applyNumberFormat="1" applyFont="1" applyFill="1" applyBorder="1" applyAlignment="1">
      <x:alignment horizontal="general" vertical="bottom" wrapText="0"/>
    </x:xf>
    <x:xf numFmtId="164" fontId="21" fillId="11" borderId="2" xfId="0" applyNumberFormat="1" applyFont="1" applyFill="1" applyBorder="1" applyAlignment="1">
      <x:alignment horizontal="general" vertical="bottom" wrapText="0"/>
    </x:xf>
    <x:xf numFmtId="164" fontId="22" fillId="11" borderId="2" xfId="0" applyNumberFormat="1" applyFont="1" applyFill="1" applyBorder="1" applyAlignment="1">
      <x:alignment horizontal="general" vertical="bottom" wrapText="0"/>
    </x:xf>
    <x:xf numFmtId="164" fontId="21" fillId="12" borderId="1" xfId="0" applyNumberFormat="1" applyFont="1" applyFill="1" applyBorder="1" applyAlignment="1">
      <x:alignment horizontal="general" vertical="bottom" wrapText="0"/>
    </x:xf>
    <x:xf numFmtId="164" fontId="22" fillId="11" borderId="1" xfId="0" applyNumberFormat="1" applyFont="1" applyFill="1" applyBorder="1" applyAlignment="1">
      <x:alignment horizontal="general" vertical="bottom" wrapText="0"/>
    </x:xf>
    <x:xf numFmtId="164" fontId="21" fillId="12" borderId="3" xfId="0" applyNumberFormat="1" applyFont="1" applyFill="1" applyBorder="1" applyAlignment="1">
      <x:alignment horizontal="general" vertical="bottom" wrapText="0"/>
    </x:xf>
    <x:xf numFmtId="164" fontId="22" fillId="11" borderId="3" xfId="0" applyNumberFormat="1" applyFont="1" applyFill="1" applyBorder="1" applyAlignment="1">
      <x:alignment horizontal="general" vertical="bottom" wrapText="0"/>
    </x:xf>
    <x:xf numFmtId="200" fontId="21" fillId="12" borderId="1" xfId="0" applyNumberFormat="1" applyFont="1" applyFill="1" applyBorder="1" applyAlignment="1">
      <x:alignment horizontal="general" vertical="bottom" wrapText="0"/>
    </x:xf>
    <x:xf numFmtId="200" fontId="21" fillId="12" borderId="3" xfId="0" applyNumberFormat="1" applyFont="1" applyFill="1" applyBorder="1" applyAlignment="1">
      <x:alignment horizontal="general" vertical="bottom" wrapText="0"/>
    </x:xf>
    <x:xf numFmtId="201" fontId="21" fillId="12" borderId="1" xfId="0" applyNumberFormat="1" applyFont="1" applyFill="1" applyBorder="1" applyAlignment="1">
      <x:alignment horizontal="general" vertical="bottom" wrapText="0"/>
    </x:xf>
    <x:xf numFmtId="201" fontId="22" fillId="11" borderId="1" xfId="0" applyNumberFormat="1" applyFont="1" applyFill="1" applyBorder="1" applyAlignment="1">
      <x:alignment horizontal="general" vertical="bottom" wrapText="0"/>
    </x:xf>
    <x:xf numFmtId="201" fontId="21" fillId="12" borderId="3" xfId="0" applyNumberFormat="1" applyFont="1" applyFill="1" applyBorder="1" applyAlignment="1">
      <x:alignment horizontal="general" vertical="bottom" wrapText="0"/>
    </x:xf>
    <x:xf numFmtId="201" fontId="22" fillId="11" borderId="3" xfId="0" applyNumberFormat="1" applyFont="1" applyFill="1" applyBorder="1" applyAlignment="1">
      <x:alignment horizontal="general" vertical="bottom" wrapText="0"/>
    </x:xf>
    <x:xf numFmtId="202" fontId="22" fillId="11" borderId="1" xfId="0" applyNumberFormat="1" applyFont="1" applyFill="1" applyBorder="1" applyAlignment="1">
      <x:alignment horizontal="general" vertical="bottom" wrapText="0"/>
    </x:xf>
    <x:xf numFmtId="202" fontId="22" fillId="11" borderId="3" xfId="0" applyNumberFormat="1" applyFont="1" applyFill="1" applyBorder="1" applyAlignment="1">
      <x:alignment horizontal="general" vertical="bottom" wrapText="0"/>
    </x:xf>
    <x:xf numFmtId="203" fontId="22" fillId="11" borderId="1" xfId="0" applyNumberFormat="1" applyFont="1" applyFill="1" applyBorder="1" applyAlignment="1">
      <x:alignment horizontal="general" vertical="bottom" wrapText="0"/>
    </x:xf>
    <x:xf numFmtId="203" fontId="22" fillId="11" borderId="3" xfId="0" applyNumberFormat="1" applyFont="1" applyFill="1" applyBorder="1" applyAlignment="1">
      <x:alignment horizontal="general" vertical="bottom" wrapText="0"/>
    </x:xf>
    <x:xf numFmtId="204" fontId="21" fillId="12" borderId="1" xfId="0" applyNumberFormat="1" applyFont="1" applyFill="1" applyBorder="1" applyAlignment="1">
      <x:alignment horizontal="general" vertical="bottom" wrapText="0"/>
    </x:xf>
    <x:xf numFmtId="204" fontId="21" fillId="12" borderId="3" xfId="0" applyNumberFormat="1" applyFont="1" applyFill="1" applyBorder="1" applyAlignment="1">
      <x:alignment horizontal="general" vertical="bottom" wrapText="0"/>
    </x:xf>
    <x:xf numFmtId="205" fontId="21" fillId="12" borderId="1" xfId="0" applyNumberFormat="1" applyFont="1" applyFill="1" applyBorder="1" applyAlignment="1">
      <x:alignment horizontal="general" vertical="bottom" wrapText="0"/>
    </x:xf>
    <x:xf numFmtId="205" fontId="21" fillId="12" borderId="3" xfId="0" applyNumberFormat="1" applyFont="1" applyFill="1" applyBorder="1" applyAlignment="1">
      <x:alignment horizontal="general" vertical="bottom" wrapText="0"/>
    </x:xf>
    <x:xf numFmtId="202" fontId="21" fillId="12" borderId="1" xfId="0" applyNumberFormat="1" applyFont="1" applyFill="1" applyBorder="1" applyAlignment="1">
      <x:alignment horizontal="general" vertical="bottom" wrapText="0"/>
    </x:xf>
    <x:xf numFmtId="202" fontId="21" fillId="12" borderId="3" xfId="0" applyNumberFormat="1" applyFont="1" applyFill="1" applyBorder="1" applyAlignment="1">
      <x:alignment horizontal="general" vertical="bottom" wrapText="0"/>
    </x:xf>
    <x:xf numFmtId="206" fontId="21" fillId="12" borderId="1" xfId="0" applyNumberFormat="1" applyFont="1" applyFill="1" applyBorder="1" applyAlignment="1">
      <x:alignment horizontal="general" vertical="bottom" wrapText="0"/>
    </x:xf>
    <x:xf numFmtId="206" fontId="21" fillId="12" borderId="3" xfId="0" applyNumberFormat="1" applyFont="1" applyFill="1" applyBorder="1" applyAlignment="1">
      <x:alignment horizontal="general" vertical="bottom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20" fillId="13" borderId="0" xfId="0" applyNumberFormat="1" applyFont="1" applyFill="1" applyBorder="1" applyAlignment="1">
      <x:alignment horizontal="general" vertical="bottom" wrapText="0"/>
    </x:xf>
    <x:xf numFmtId="164" fontId="20" fillId="13" borderId="0" xfId="0" applyNumberFormat="1" applyFont="1" applyFill="1" applyBorder="1" applyAlignment="1">
      <x:alignment horizontal="general" vertical="bottom" wrapText="1"/>
    </x:xf>
    <x:xf numFmtId="164" fontId="20" fillId="13" borderId="0" xfId="0" applyNumberFormat="1" applyFont="1" applyFill="1" applyBorder="1" applyAlignment="1">
      <x:alignment horizontal="center" vertical="bottom" wrapText="1"/>
    </x:xf>
    <x:xf numFmtId="164" fontId="0" fillId="13" borderId="2" xfId="0" applyNumberFormat="1" applyFont="1" applyFill="1" applyBorder="1" applyAlignment="1">
      <x:alignment horizontal="general" vertical="bottom" wrapText="0"/>
    </x:xf>
    <x:xf numFmtId="164" fontId="20" fillId="13" borderId="2" xfId="0" applyNumberFormat="1" applyFont="1" applyFill="1" applyBorder="1" applyAlignment="1">
      <x:alignment horizontal="general" vertical="bottom" wrapText="0"/>
    </x:xf>
    <x:xf numFmtId="164" fontId="20" fillId="13" borderId="2" xfId="0" applyNumberFormat="1" applyFont="1" applyFill="1" applyBorder="1" applyAlignment="1">
      <x:alignment horizontal="general" vertical="bottom" wrapText="1"/>
    </x:xf>
    <x:xf numFmtId="164" fontId="20" fillId="13" borderId="2" xfId="0" applyNumberFormat="1" applyFont="1" applyFill="1" applyBorder="1" applyAlignment="1">
      <x:alignment horizontal="center" vertical="bottom" wrapText="1"/>
    </x:xf>
    <x:xf numFmtId="164" fontId="20" fillId="13" borderId="1" xfId="0" applyNumberFormat="1" applyFont="1" applyFill="1" applyBorder="1" applyAlignment="1">
      <x:alignment horizontal="center" vertical="bottom" wrapText="1"/>
    </x:xf>
    <x:xf numFmtId="164" fontId="0" fillId="8" borderId="1" xfId="0" applyNumberFormat="1" applyFont="1" applyFill="1" applyBorder="1" applyAlignment="1">
      <x:alignment horizontal="general" vertical="bottom" wrapText="0"/>
    </x:xf>
    <x:xf numFmtId="164" fontId="20" fillId="13" borderId="3" xfId="0" applyNumberFormat="1" applyFont="1" applyFill="1" applyBorder="1" applyAlignment="1">
      <x:alignment horizontal="center" vertical="bottom" wrapText="1"/>
    </x:xf>
    <x:xf numFmtId="164" fontId="0" fillId="8" borderId="3" xfId="0" applyNumberFormat="1" applyFont="1" applyFill="1" applyBorder="1" applyAlignment="1">
      <x:alignment horizontal="general" vertical="bottom" wrapText="0"/>
    </x:xf>
    <x:xf numFmtId="204" fontId="0" fillId="0" borderId="1" xfId="0" applyNumberFormat="1" applyFont="1" applyFill="1" applyBorder="1" applyAlignment="1">
      <x:alignment horizontal="general" vertical="bottom" wrapText="0"/>
    </x:xf>
    <x:xf numFmtId="204" fontId="0" fillId="0" borderId="3" xfId="0" applyNumberFormat="1" applyFont="1" applyFill="1" applyBorder="1" applyAlignment="1">
      <x:alignment horizontal="general" vertical="bottom" wrapText="0"/>
    </x:xf>
    <x:xf numFmtId="206" fontId="0" fillId="0" borderId="1" xfId="0" applyNumberFormat="1" applyFont="1" applyFill="1" applyBorder="1" applyAlignment="1">
      <x:alignment horizontal="general" vertical="bottom" wrapText="0"/>
    </x:xf>
    <x:xf numFmtId="206" fontId="0" fillId="0" borderId="3" xfId="0" applyNumberFormat="1" applyFont="1" applyFill="1" applyBorder="1" applyAlignment="1">
      <x:alignment horizontal="general" vertical="bottom" wrapText="0"/>
    </x:xf>
    <x:xf numFmtId="202" fontId="0" fillId="0" borderId="1" xfId="0" applyNumberFormat="1" applyFont="1" applyFill="1" applyBorder="1" applyAlignment="1">
      <x:alignment horizontal="general" vertical="bottom" wrapText="0"/>
    </x:xf>
    <x:xf numFmtId="202" fontId="0" fillId="0" borderId="3" xfId="0" applyNumberFormat="1" applyFont="1" applyFill="1" applyBorder="1" applyAlignment="1">
      <x:alignment horizontal="general" vertical="bottom" wrapText="0"/>
    </x:xf>
    <x:xf numFmtId="204" fontId="22" fillId="11" borderId="1" xfId="0" applyNumberFormat="1" applyFont="1" applyFill="1" applyBorder="1" applyAlignment="1">
      <x:alignment horizontal="general" vertical="bottom" wrapText="0"/>
    </x:xf>
    <x:xf numFmtId="204" fontId="22" fillId="11" borderId="3" xfId="0" applyNumberFormat="1" applyFont="1" applyFill="1" applyBorder="1" applyAlignment="1">
      <x:alignment horizontal="general" vertical="bottom" wrapText="0"/>
    </x:xf>
    <x:xf numFmtId="164" fontId="20" fillId="13" borderId="0" xfId="0" applyNumberFormat="1" applyFont="1" applyFill="1" applyBorder="1" applyAlignment="1">
      <x:alignment horizontal="center" vertical="bottom" wrapText="0"/>
    </x:xf>
    <x:xf numFmtId="164" fontId="20" fillId="13" borderId="2" xfId="0" applyNumberFormat="1" applyFont="1" applyFill="1" applyBorder="1" applyAlignment="1">
      <x:alignment horizontal="center" vertical="bottom" wrapText="0"/>
    </x:xf>
    <x:xf numFmtId="164" fontId="20" fillId="13" borderId="0" xfId="0" applyNumberFormat="1" applyFont="1" applyFill="1" applyBorder="1" applyAlignment="1">
      <x:alignment horizontal="right" vertical="bottom" wrapText="0"/>
    </x:xf>
    <x:xf numFmtId="164" fontId="20" fillId="13" borderId="2" xfId="0" applyNumberFormat="1" applyFont="1" applyFill="1" applyBorder="1" applyAlignment="1">
      <x:alignment horizontal="right" vertical="bottom" wrapText="0"/>
    </x:xf>
    <x:xf numFmtId="204" fontId="0" fillId="0" borderId="0" xfId="0" applyNumberFormat="1" applyFont="1" applyFill="1" applyBorder="1" applyAlignment="1">
      <x:alignment horizontal="general" vertical="bottom" wrapText="0"/>
    </x:xf>
    <x:xf numFmtId="204" fontId="0" fillId="0" borderId="2" xfId="0" applyNumberFormat="1" applyFont="1" applyFill="1" applyBorder="1" applyAlignment="1">
      <x:alignment horizontal="general" vertical="bottom" wrapText="0"/>
    </x:xf>
    <x:xf numFmtId="164" fontId="20" fillId="13" borderId="1" xfId="0" applyNumberFormat="1" applyFont="1" applyFill="1" applyBorder="1" applyAlignment="1">
      <x:alignment horizontal="center" vertical="bottom" wrapText="0"/>
    </x:xf>
    <x:xf numFmtId="164" fontId="20" fillId="13" borderId="1" xfId="0" applyNumberFormat="1" applyFont="1" applyFill="1" applyBorder="1" applyAlignment="1">
      <x:alignment horizontal="right" vertical="bottom" wrapText="0"/>
    </x:xf>
    <x:xf numFmtId="164" fontId="20" fillId="13" borderId="3" xfId="0" applyNumberFormat="1" applyFont="1" applyFill="1" applyBorder="1" applyAlignment="1">
      <x:alignment horizontal="center" vertical="bottom" wrapText="0"/>
    </x:xf>
    <x:xf numFmtId="164" fontId="20" fillId="13" borderId="3" xfId="0" applyNumberFormat="1" applyFont="1" applyFill="1" applyBorder="1" applyAlignment="1">
      <x:alignment horizontal="right" vertical="bottom" wrapText="0"/>
    </x:xf>
    <x:xf numFmtId="164" fontId="18" fillId="7" borderId="0" xfId="0" applyNumberFormat="1" applyFont="1" applyFill="1" applyBorder="1" applyAlignment="1">
      <x:alignment horizontal="left" vertical="top" wrapText="0"/>
    </x:xf>
    <x:xf numFmtId="164" fontId="0" fillId="0" borderId="0" xfId="0" applyNumberFormat="1" applyFont="1" applyFill="1" applyBorder="1" applyAlignment="1">
      <x:alignment horizontal="general" vertical="top" wrapText="0"/>
    </x:xf>
    <x:xf numFmtId="164" fontId="19" fillId="0" borderId="0" xfId="0" applyNumberFormat="1" applyFont="1" applyFill="1" applyBorder="1" applyAlignment="1">
      <x:alignment horizontal="general" vertical="top" wrapText="1"/>
    </x:xf>
    <x:xf numFmtId="164" fontId="17" fillId="7" borderId="1" xfId="0" applyNumberFormat="1" applyFont="1" applyFill="1" applyBorder="1" applyAlignment="1">
      <x:alignment horizontal="center" vertical="top" wrapText="0"/>
    </x:xf>
    <x:xf numFmtId="164" fontId="20" fillId="8" borderId="1" xfId="0" applyNumberFormat="1" applyFont="1" applyFill="1" applyBorder="1" applyAlignment="1">
      <x:alignment horizontal="general" vertical="top" wrapText="0"/>
    </x:xf>
    <x:xf numFmtId="200" fontId="21" fillId="12" borderId="1" xfId="0" applyNumberFormat="1" applyFont="1" applyFill="1" applyBorder="1" applyAlignment="1">
      <x:alignment horizontal="general" vertical="top" wrapText="0"/>
    </x:xf>
    <x:xf numFmtId="164" fontId="0" fillId="0" borderId="1" xfId="0" applyNumberFormat="1" applyFont="1" applyFill="1" applyBorder="1" applyAlignment="1">
      <x:alignment horizontal="general" vertical="top" wrapText="0"/>
    </x:xf>
    <x:xf numFmtId="201" fontId="21" fillId="12" borderId="1" xfId="0" applyNumberFormat="1" applyFont="1" applyFill="1" applyBorder="1" applyAlignment="1">
      <x:alignment horizontal="general" vertical="top" wrapText="0"/>
    </x:xf>
    <x:xf numFmtId="201" fontId="22" fillId="11" borderId="1" xfId="0" applyNumberFormat="1" applyFont="1" applyFill="1" applyBorder="1" applyAlignment="1">
      <x:alignment horizontal="general" vertical="top" wrapText="0"/>
    </x:xf>
    <x:xf numFmtId="202" fontId="22" fillId="11" borderId="1" xfId="0" applyNumberFormat="1" applyFont="1" applyFill="1" applyBorder="1" applyAlignment="1">
      <x:alignment horizontal="general" vertical="top" wrapText="0"/>
    </x:xf>
    <x:xf numFmtId="203" fontId="22" fillId="11" borderId="1" xfId="0" applyNumberFormat="1" applyFont="1" applyFill="1" applyBorder="1" applyAlignment="1">
      <x:alignment horizontal="general" vertical="top" wrapText="0"/>
    </x:xf>
    <x:xf numFmtId="204" fontId="21" fillId="12" borderId="1" xfId="0" applyNumberFormat="1" applyFont="1" applyFill="1" applyBorder="1" applyAlignment="1">
      <x:alignment horizontal="general" vertical="top" wrapText="0"/>
    </x:xf>
    <x:xf numFmtId="205" fontId="21" fillId="12" borderId="1" xfId="0" applyNumberFormat="1" applyFont="1" applyFill="1" applyBorder="1" applyAlignment="1">
      <x:alignment horizontal="general" vertical="top" wrapText="0"/>
    </x:xf>
    <x:xf numFmtId="202" fontId="21" fillId="12" borderId="1" xfId="0" applyNumberFormat="1" applyFont="1" applyFill="1" applyBorder="1" applyAlignment="1">
      <x:alignment horizontal="general" vertical="top" wrapText="0"/>
    </x:xf>
    <x:xf numFmtId="206" fontId="21" fillId="12" borderId="1" xfId="0" applyNumberFormat="1" applyFont="1" applyFill="1" applyBorder="1" applyAlignment="1">
      <x:alignment horizontal="general" vertical="top" wrapText="0"/>
    </x:xf>
    <x:xf numFmtId="164" fontId="17" fillId="7" borderId="0" xfId="0" applyNumberFormat="1" applyFont="1" applyFill="1" applyBorder="1" applyAlignment="1">
      <x:alignment horizontal="general" vertical="top" wrapText="0"/>
    </x:xf>
    <x:xf numFmtId="164" fontId="20" fillId="13" borderId="1" xfId="0" applyNumberFormat="1" applyFont="1" applyFill="1" applyBorder="1" applyAlignment="1">
      <x:alignment horizontal="center" vertical="top" wrapText="1"/>
    </x:xf>
    <x:xf numFmtId="164" fontId="0" fillId="8" borderId="1" xfId="0" applyNumberFormat="1" applyFont="1" applyFill="1" applyBorder="1" applyAlignment="1">
      <x:alignment horizontal="general" vertical="top" wrapText="0"/>
    </x:xf>
    <x:xf numFmtId="204" fontId="0" fillId="0" borderId="1" xfId="0" applyNumberFormat="1" applyFont="1" applyFill="1" applyBorder="1" applyAlignment="1">
      <x:alignment horizontal="general" vertical="top" wrapText="0"/>
    </x:xf>
    <x:xf numFmtId="206" fontId="0" fillId="0" borderId="1" xfId="0" applyNumberFormat="1" applyFont="1" applyFill="1" applyBorder="1" applyAlignment="1">
      <x:alignment horizontal="general" vertical="top" wrapText="0"/>
    </x:xf>
    <x:xf numFmtId="202" fontId="0" fillId="0" borderId="1" xfId="0" applyNumberFormat="1" applyFont="1" applyFill="1" applyBorder="1" applyAlignment="1">
      <x:alignment horizontal="general" vertical="top" wrapText="0"/>
    </x:xf>
    <x:xf numFmtId="204" fontId="22" fillId="11" borderId="1" xfId="0" applyNumberFormat="1" applyFont="1" applyFill="1" applyBorder="1" applyAlignment="1">
      <x:alignment horizontal="general" vertical="top" wrapText="0"/>
    </x:xf>
    <x:xf numFmtId="164" fontId="20" fillId="13" borderId="1" xfId="0" applyNumberFormat="1" applyFont="1" applyFill="1" applyBorder="1" applyAlignment="1">
      <x:alignment horizontal="center" vertical="top" wrapText="0"/>
    </x:xf>
    <x:xf numFmtId="164" fontId="20" fillId="13" borderId="1" xfId="0" applyNumberFormat="1" applyFont="1" applyFill="1" applyBorder="1" applyAlignment="1">
      <x:alignment horizontal="right" vertical="top" wrapText="0"/>
    </x:xf>
    <x:xf numFmtId="164" fontId="18" fillId="7" borderId="2" xfId="0" applyNumberFormat="1" applyFont="1" applyFill="1" applyBorder="1" applyAlignment="1">
      <x:alignment horizontal="left" vertical="top" wrapText="0"/>
    </x:xf>
    <x:xf numFmtId="164" fontId="0" fillId="0" borderId="2" xfId="0" applyNumberFormat="1" applyFont="1" applyFill="1" applyBorder="1" applyAlignment="1">
      <x:alignment horizontal="general" vertical="top" wrapText="0"/>
    </x:xf>
    <x:xf numFmtId="164" fontId="19" fillId="0" borderId="2" xfId="0" applyNumberFormat="1" applyFont="1" applyFill="1" applyBorder="1" applyAlignment="1">
      <x:alignment horizontal="general" vertical="top" wrapText="1"/>
    </x:xf>
    <x:xf numFmtId="164" fontId="17" fillId="7" borderId="3" xfId="0" applyNumberFormat="1" applyFont="1" applyFill="1" applyBorder="1" applyAlignment="1">
      <x:alignment horizontal="center" vertical="top" wrapText="0"/>
    </x:xf>
    <x:xf numFmtId="164" fontId="20" fillId="8" borderId="3" xfId="0" applyNumberFormat="1" applyFont="1" applyFill="1" applyBorder="1" applyAlignment="1">
      <x:alignment horizontal="general" vertical="top" wrapText="0"/>
    </x:xf>
    <x:xf numFmtId="200" fontId="21" fillId="12" borderId="3" xfId="0" applyNumberFormat="1" applyFont="1" applyFill="1" applyBorder="1" applyAlignment="1">
      <x:alignment horizontal="general" vertical="top" wrapText="0"/>
    </x:xf>
    <x:xf numFmtId="164" fontId="0" fillId="0" borderId="3" xfId="0" applyNumberFormat="1" applyFont="1" applyFill="1" applyBorder="1" applyAlignment="1">
      <x:alignment horizontal="general" vertical="top" wrapText="0"/>
    </x:xf>
    <x:xf numFmtId="201" fontId="21" fillId="12" borderId="3" xfId="0" applyNumberFormat="1" applyFont="1" applyFill="1" applyBorder="1" applyAlignment="1">
      <x:alignment horizontal="general" vertical="top" wrapText="0"/>
    </x:xf>
    <x:xf numFmtId="201" fontId="22" fillId="11" borderId="3" xfId="0" applyNumberFormat="1" applyFont="1" applyFill="1" applyBorder="1" applyAlignment="1">
      <x:alignment horizontal="general" vertical="top" wrapText="0"/>
    </x:xf>
    <x:xf numFmtId="202" fontId="22" fillId="11" borderId="3" xfId="0" applyNumberFormat="1" applyFont="1" applyFill="1" applyBorder="1" applyAlignment="1">
      <x:alignment horizontal="general" vertical="top" wrapText="0"/>
    </x:xf>
    <x:xf numFmtId="203" fontId="22" fillId="11" borderId="3" xfId="0" applyNumberFormat="1" applyFont="1" applyFill="1" applyBorder="1" applyAlignment="1">
      <x:alignment horizontal="general" vertical="top" wrapText="0"/>
    </x:xf>
    <x:xf numFmtId="204" fontId="21" fillId="12" borderId="3" xfId="0" applyNumberFormat="1" applyFont="1" applyFill="1" applyBorder="1" applyAlignment="1">
      <x:alignment horizontal="general" vertical="top" wrapText="0"/>
    </x:xf>
    <x:xf numFmtId="205" fontId="21" fillId="12" borderId="3" xfId="0" applyNumberFormat="1" applyFont="1" applyFill="1" applyBorder="1" applyAlignment="1">
      <x:alignment horizontal="general" vertical="top" wrapText="0"/>
    </x:xf>
    <x:xf numFmtId="202" fontId="21" fillId="12" borderId="3" xfId="0" applyNumberFormat="1" applyFont="1" applyFill="1" applyBorder="1" applyAlignment="1">
      <x:alignment horizontal="general" vertical="top" wrapText="0"/>
    </x:xf>
    <x:xf numFmtId="206" fontId="21" fillId="12" borderId="3" xfId="0" applyNumberFormat="1" applyFont="1" applyFill="1" applyBorder="1" applyAlignment="1">
      <x:alignment horizontal="general" vertical="top" wrapText="0"/>
    </x:xf>
    <x:xf numFmtId="164" fontId="17" fillId="7" borderId="2" xfId="0" applyNumberFormat="1" applyFont="1" applyFill="1" applyBorder="1" applyAlignment="1">
      <x:alignment horizontal="general" vertical="top" wrapText="0"/>
    </x:xf>
    <x:xf numFmtId="164" fontId="20" fillId="13" borderId="3" xfId="0" applyNumberFormat="1" applyFont="1" applyFill="1" applyBorder="1" applyAlignment="1">
      <x:alignment horizontal="center" vertical="top" wrapText="1"/>
    </x:xf>
    <x:xf numFmtId="164" fontId="0" fillId="8" borderId="3" xfId="0" applyNumberFormat="1" applyFont="1" applyFill="1" applyBorder="1" applyAlignment="1">
      <x:alignment horizontal="general" vertical="top" wrapText="0"/>
    </x:xf>
    <x:xf numFmtId="204" fontId="0" fillId="0" borderId="3" xfId="0" applyNumberFormat="1" applyFont="1" applyFill="1" applyBorder="1" applyAlignment="1">
      <x:alignment horizontal="general" vertical="top" wrapText="0"/>
    </x:xf>
    <x:xf numFmtId="206" fontId="0" fillId="0" borderId="3" xfId="0" applyNumberFormat="1" applyFont="1" applyFill="1" applyBorder="1" applyAlignment="1">
      <x:alignment horizontal="general" vertical="top" wrapText="0"/>
    </x:xf>
    <x:xf numFmtId="202" fontId="0" fillId="0" borderId="3" xfId="0" applyNumberFormat="1" applyFont="1" applyFill="1" applyBorder="1" applyAlignment="1">
      <x:alignment horizontal="general" vertical="top" wrapText="0"/>
    </x:xf>
    <x:xf numFmtId="204" fontId="22" fillId="11" borderId="3" xfId="0" applyNumberFormat="1" applyFont="1" applyFill="1" applyBorder="1" applyAlignment="1">
      <x:alignment horizontal="general" vertical="top" wrapText="0"/>
    </x:xf>
    <x:xf numFmtId="164" fontId="20" fillId="13" borderId="3" xfId="0" applyNumberFormat="1" applyFont="1" applyFill="1" applyBorder="1" applyAlignment="1">
      <x:alignment horizontal="center" vertical="top" wrapText="0"/>
    </x:xf>
    <x:xf numFmtId="164" fontId="20" fillId="13" borderId="3" xfId="0" applyNumberFormat="1" applyFont="1" applyFill="1" applyBorder="1" applyAlignment="1">
      <x:alignment horizontal="right" vertical="top" wrapText="0"/>
    </x:xf>
    <x:xf numFmtId="207" fontId="21" fillId="12" borderId="0" xfId="0" applyNumberFormat="1" applyFont="1" applyFill="1" applyBorder="1" applyAlignment="1">
      <x:alignment horizontal="general" vertical="bottom" wrapText="0"/>
    </x:xf>
    <x:xf numFmtId="207" fontId="22" fillId="11" borderId="0" xfId="0" applyNumberFormat="1" applyFont="1" applyFill="1" applyBorder="1" applyAlignment="1">
      <x:alignment horizontal="general" vertical="bottom" wrapText="0"/>
    </x:xf>
    <x:xf numFmtId="207" fontId="21" fillId="12" borderId="2" xfId="0" applyNumberFormat="1" applyFont="1" applyFill="1" applyBorder="1" applyAlignment="1">
      <x:alignment horizontal="general" vertical="bottom" wrapText="0"/>
    </x:xf>
    <x:xf numFmtId="207" fontId="22" fillId="11" borderId="2" xfId="0" applyNumberFormat="1" applyFont="1" applyFill="1" applyBorder="1" applyAlignment="1">
      <x:alignment horizontal="general" vertical="bottom" wrapText="0"/>
    </x:xf>
    <x:xf numFmtId="207" fontId="21" fillId="12" borderId="1" xfId="0" applyNumberFormat="1" applyFont="1" applyFill="1" applyBorder="1" applyAlignment="1">
      <x:alignment horizontal="general" vertical="bottom" wrapText="0"/>
    </x:xf>
    <x:xf numFmtId="207" fontId="22" fillId="11" borderId="1" xfId="0" applyNumberFormat="1" applyFont="1" applyFill="1" applyBorder="1" applyAlignment="1">
      <x:alignment horizontal="general" vertical="bottom" wrapText="0"/>
    </x:xf>
    <x:xf numFmtId="207" fontId="21" fillId="12" borderId="3" xfId="0" applyNumberFormat="1" applyFont="1" applyFill="1" applyBorder="1" applyAlignment="1">
      <x:alignment horizontal="general" vertical="bottom" wrapText="0"/>
    </x:xf>
    <x:xf numFmtId="207" fontId="22" fillId="11" borderId="3" xfId="0" applyNumberFormat="1" applyFont="1" applyFill="1" applyBorder="1" applyAlignment="1">
      <x:alignment horizontal="general" vertical="bottom" wrapText="0"/>
    </x:xf>
    <x:xf numFmtId="164" fontId="0" fillId="12" borderId="1" xfId="0" applyNumberFormat="1" applyFont="1" applyFill="1" applyBorder="1" applyAlignment="1">
      <x:alignment horizontal="general" vertical="top" wrapText="0"/>
    </x:xf>
    <x:xf numFmtId="164" fontId="21" fillId="12" borderId="1" xfId="0" applyNumberFormat="1" applyFont="1" applyFill="1" applyBorder="1" applyAlignment="1">
      <x:alignment horizontal="general" vertical="top" wrapText="0"/>
    </x:xf>
    <x:xf numFmtId="164" fontId="0" fillId="12" borderId="3" xfId="0" applyNumberFormat="1" applyFont="1" applyFill="1" applyBorder="1" applyAlignment="1">
      <x:alignment horizontal="general" vertical="top" wrapText="0"/>
    </x:xf>
    <x:xf numFmtId="164" fontId="21" fillId="12" borderId="3" xfId="0" applyNumberFormat="1" applyFont="1" applyFill="1" applyBorder="1" applyAlignment="1">
      <x:alignment horizontal="general" vertical="top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CE4D6"/>
      <x:rgbColor rgb="FFDDEBF7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55555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d79b4edaa14882" /><Relationship Type="http://schemas.openxmlformats.org/officeDocument/2006/relationships/theme" Target="/xl/theme/theme1.xml" Id="Rf9b2ec64414a449d" /><Relationship Type="http://schemas.openxmlformats.org/officeDocument/2006/relationships/sharedStrings" Target="/xl/sharedStrings.xml" Id="Rbe9013e165544973" /><Relationship Type="http://schemas.openxmlformats.org/officeDocument/2006/relationships/worksheet" Target="/xl/worksheets/sheet1.xml" Id="R8ee5ecac12834630" /><Relationship Type="http://schemas.openxmlformats.org/officeDocument/2006/relationships/worksheet" Target="/xl/worksheets/sheet2.xml" Id="R638cb18fb61e4c59" /><Relationship Type="http://schemas.openxmlformats.org/officeDocument/2006/relationships/worksheet" Target="/xl/worksheets/sheet3.xml" Id="Raf3a54e6cb634fa1" /><Relationship Type="http://schemas.openxmlformats.org/officeDocument/2006/relationships/worksheet" Target="/xl/worksheets/sheet4.xml" Id="Rd3b2889a312645b1" /><Relationship Type="http://schemas.openxmlformats.org/officeDocument/2006/relationships/worksheet" Target="/xl/worksheets/sheet5.xml" Id="R11f52c6472884d91" /><Relationship Type="http://schemas.openxmlformats.org/officeDocument/2006/relationships/worksheet" Target="/xl/worksheets/sheet6.xml" Id="R79087a621b544ecf" /><Relationship Type="http://schemas.microsoft.com/office/2017/10/relationships/person" Target="/xl/persons/person.xml" Id="R30d6403b0b684f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9d917f0f724b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Trailing Connectivity $/Share Cross-Check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$/Share</c:v>
          </c:tx>
          <c:cat>
            <c:strRef>
              <c:f>'Corrected_Valuation'!$A$25:$A$30</c:f>
              <c:strCache>
                <c:ptCount val="0"/>
              </c:strCache>
            </c:strRef>
          </c:cat>
          <c:val>
            <c:numRef>
              <c:f>'Corrected_Valuation'!$E$25:$E$30</c:f>
              <c:numCache>
                <c:formatCode>$0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Case</a:t>
                </a:r>
              </a:p>
            </c:rich>
          </c:tx>
        </c:title>
        <c:numFmt formatCode="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$/Share</a:t>
                </a:r>
              </a:p>
            </c:rich>
          </c:tx>
        </c:title>
        <c:numFmt formatCode="$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3</xdr:row>
      <xdr:rowOff>0</xdr:rowOff>
    </xdr:from>
    <xdr:ext cx="5334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9d917f0f724b9b"/>
        </a:graphicData>
      </a:graphic>
    </xdr:graphicFrame>
    <xdr:clientData/>
  </xdr:oneCellAnchor>
</xdr:wsDr>
</file>

<file path=xl/persons/person.xml><?xml version="1.0" encoding="utf-8"?>
<xltc:personList xmlns:xltc="http://schemas.microsoft.com/office/spreadsheetml/2018/threadedcomments">
  <xltc:person displayName="Unknown Author" id="{5D8106AC-1513-580A-03D4-A3DBC27B951D}"/>
</xltc:personList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fc3b6b4b3154735" /><Relationship Type="http://schemas.openxmlformats.org/officeDocument/2006/relationships/vmlDrawing" Target="/xl/drawings/vmldrawing.vml" Id="Rdaec27b0abdc40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1254df51a684e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4" hidden="0" customWidth="1"/>
    <x:col min="2" max="2" width="14" hidden="0" customWidth="1"/>
    <x:col min="3" max="3" width="12" hidden="0" customWidth="1"/>
    <x:col min="4" max="4" width="13" hidden="0" customWidth="1"/>
    <x:col min="5" max="8" width="12" hidden="0" customWidth="1"/>
  </x:cols>
  <x:sheetData>
    <x:row r="1" ht="20.100000381469727" hidden="0">
      <x:c r="A1" s="1" t="s">
        <x:v>0</x:v>
      </x:c>
    </x:row>
    <x:row r="2" ht="15" hidden="0">
      <x:c r="A2" s="2" t="s">
        <x:v>1</x:v>
      </x:c>
    </x:row>
    <x:row r="4" ht="15" hidden="0">
      <x:c r="A4" s="3" t="s">
        <x:v>2</x:v>
      </x:c>
      <x:c r="B4" s="4"/>
    </x:row>
    <x:row r="5" ht="15" hidden="0">
      <x:c r="A5" s="5" t="s">
        <x:v>3</x:v>
      </x:c>
      <x:c r="B5" s="6" t="n">
        <x:v>10.3</x:v>
      </x:c>
    </x:row>
    <x:row r="6" ht="15" hidden="0">
      <x:c r="A6" s="7" t="s">
        <x:v>4</x:v>
      </x:c>
      <x:c r="B6" s="8" t="n">
        <x:v>66</x:v>
      </x:c>
    </x:row>
    <x:row r="7" ht="15" hidden="0">
      <x:c r="A7" s="5" t="s">
        <x:v>5</x:v>
      </x:c>
      <x:c r="B7" s="6" t="n">
        <x:v>4.2</x:v>
      </x:c>
    </x:row>
    <x:row r="8" ht="15" hidden="0">
      <x:c r="A8" s="7" t="s">
        <x:v>6</x:v>
      </x:c>
      <x:c r="B8" s="9" t="n">
        <x:v>0.63</x:v>
      </x:c>
    </x:row>
    <x:row r="9" ht="15" hidden="0">
      <x:c r="A9" s="7" t="s">
        <x:v>7</x:v>
      </x:c>
      <x:c r="B9" s="10" t="n">
        <x:v>20</x:v>
      </x:c>
    </x:row>
    <x:row r="10" ht="15" hidden="0">
      <x:c r="A10" s="5" t="s">
        <x:v>8</x:v>
      </x:c>
      <x:c r="B10" s="11" t="n">
        <x:v>13.091</x:v>
      </x:c>
    </x:row>
    <x:row r="11" ht="15" hidden="0">
      <x:c r="A11" s="7" t="s">
        <x:v>9</x:v>
      </x:c>
      <x:c r="B11" s="8" t="n">
        <x:v>135</x:v>
      </x:c>
    </x:row>
    <x:row r="13" ht="15" hidden="0">
      <x:c r="A13" s="12" t="s">
        <x:v>10</x:v>
      </x:c>
      <x:c r="B13" s="4"/>
    </x:row>
    <x:row r="14" ht="15" hidden="0">
      <x:c r="A14" s="5" t="s">
        <x:v>11</x:v>
      </x:c>
      <x:c r="B14" s="13" t="n">
        <x:f aca="0">B5*B6*12/1000</x:f>
        <x:v>8.1576</x:v>
      </x:c>
    </x:row>
    <x:row r="15" ht="15" hidden="0">
      <x:c r="A15" s="5" t="s">
        <x:v>12</x:v>
      </x:c>
      <x:c r="B15" s="13" t="n">
        <x:f aca="0">B14+B7</x:f>
        <x:v>12.357600000000001</x:v>
      </x:c>
    </x:row>
    <x:row r="16" ht="15" hidden="0">
      <x:c r="A16" s="7" t="s">
        <x:v>13</x:v>
      </x:c>
      <x:c r="B16" s="13" t="n">
        <x:f aca="0">B15*B8</x:f>
        <x:v>7.785288000000001</x:v>
      </x:c>
    </x:row>
    <x:row r="17" ht="15" hidden="0">
      <x:c r="A17" s="5" t="s">
        <x:v>14</x:v>
      </x:c>
      <x:c r="B17" s="13" t="n">
        <x:f aca="0">B16*B9</x:f>
        <x:v>155.70576000000003</x:v>
      </x:c>
    </x:row>
    <x:row r="18" ht="15" hidden="0">
      <x:c r="A18" s="14" t="s">
        <x:v>15</x:v>
      </x:c>
      <x:c r="B18" s="15" t="n">
        <x:f aca="0">B17/B10</x:f>
        <x:v>11.894107402031933</x:v>
      </x:c>
    </x:row>
    <x:row r="19" ht="15" hidden="0">
      <x:c r="A19" s="14" t="s">
        <x:v>16</x:v>
      </x:c>
      <x:c r="B19" s="16" t="n">
        <x:f aca="0">B18/B11</x:f>
        <x:v>0.08810449927431062</x:v>
      </x:c>
    </x:row>
    <x:row r="20" ht="15" hidden="0">
      <x:c r="A20" s="5" t="s">
        <x:v>17</x:v>
      </x:c>
      <x:c r="B20" s="17" t="n">
        <x:f aca="0">B11-B18</x:f>
        <x:v>123.10589259796807</x:v>
      </x:c>
    </x:row>
    <x:row r="21" ht="15" hidden="0">
      <x:c r="A21" s="18" t="s">
        <x:v>18</x:v>
      </x:c>
      <x:c r="B21" s="16" t="n">
        <x:f aca="0">(B11-B18)/B11</x:f>
        <x:v>0.9118955007256894</x:v>
      </x:c>
    </x:row>
    <x:row r="23" ht="15" hidden="0">
      <x:c r="A23" s="12" t="s">
        <x:v>19</x:v>
      </x:c>
      <x:c r="B23" s="4"/>
      <x:c r="C23" s="4"/>
      <x:c r="D23" s="4"/>
      <x:c r="E23" s="4"/>
      <x:c r="F23" s="4"/>
      <x:c r="G23" s="4"/>
      <x:c r="H23" s="4"/>
    </x:row>
    <x:row r="24" ht="15" hidden="0">
      <x:c r="A24" s="19" t="s">
        <x:v>20</x:v>
      </x:c>
      <x:c r="B24" s="19" t="s">
        <x:v>21</x:v>
      </x:c>
      <x:c r="C24" s="20" t="s">
        <x:v>22</x:v>
      </x:c>
      <x:c r="D24" s="19" t="s">
        <x:v>23</x:v>
      </x:c>
      <x:c r="E24" s="20" t="s">
        <x:v>24</x:v>
      </x:c>
      <x:c r="F24" s="20" t="s">
        <x:v>25</x:v>
      </x:c>
      <x:c r="G24" s="20" t="s">
        <x:v>26</x:v>
      </x:c>
      <x:c r="H24" s="20" t="s">
        <x:v>27</x:v>
      </x:c>
    </x:row>
    <x:row r="25" ht="15" hidden="0">
      <x:c r="A25" s="21" t="s">
        <x:v>28</x:v>
      </x:c>
      <x:c r="B25" s="6" t="n">
        <x:v>10.3</x:v>
      </x:c>
      <x:c r="C25" s="8" t="n">
        <x:v>66</x:v>
      </x:c>
      <x:c r="D25" s="13" t="n">
        <x:f aca="0">B25*C25*12/1000+$B$7</x:f>
        <x:v>12.357600000000001</x:v>
      </x:c>
      <x:c r="E25" s="13" t="n">
        <x:f aca="0">D25*$B$8</x:f>
        <x:v>7.785288000000001</x:v>
      </x:c>
      <x:c r="F25" s="13" t="n">
        <x:f aca="0">E25*$B$9</x:f>
        <x:v>155.70576000000003</x:v>
      </x:c>
      <x:c r="G25" s="17" t="n">
        <x:f aca="0">F25/$B$10</x:f>
        <x:v>11.894107402031933</x:v>
      </x:c>
      <x:c r="H25" s="22" t="n">
        <x:f aca="0">G25/$B$11</x:f>
        <x:v>0.08810449927431062</x:v>
      </x:c>
    </x:row>
    <x:row r="26" ht="15" hidden="0">
      <x:c r="A26" s="21" t="s">
        <x:v>29</x:v>
      </x:c>
      <x:c r="B26" s="6" t="n">
        <x:v>30</x:v>
      </x:c>
      <x:c r="C26" s="8" t="n">
        <x:v>50</x:v>
      </x:c>
      <x:c r="D26" s="13" t="n">
        <x:f aca="0">B26*C26*12/1000+$B$7</x:f>
        <x:v>22.2</x:v>
      </x:c>
      <x:c r="E26" s="13" t="n">
        <x:f aca="0">D26*$B$8</x:f>
        <x:v>13.985999999999999</x:v>
      </x:c>
      <x:c r="F26" s="13" t="n">
        <x:f aca="0">E26*$B$9</x:f>
        <x:v>279.71999999999997</x:v>
      </x:c>
      <x:c r="G26" s="17" t="n">
        <x:f aca="0">F26/$B$10</x:f>
        <x:v>21.367351615613778</x:v>
      </x:c>
      <x:c r="H26" s="22" t="n">
        <x:f aca="0">G26/$B$11</x:f>
        <x:v>0.15827667863417613</x:v>
      </x:c>
    </x:row>
    <x:row r="27" ht="15" hidden="0">
      <x:c r="A27" s="21" t="s">
        <x:v>30</x:v>
      </x:c>
      <x:c r="B27" s="6" t="n">
        <x:v>50</x:v>
      </x:c>
      <x:c r="C27" s="8" t="n">
        <x:v>40</x:v>
      </x:c>
      <x:c r="D27" s="13" t="n">
        <x:f aca="0">B27*C27*12/1000+$B$7</x:f>
        <x:v>28.2</x:v>
      </x:c>
      <x:c r="E27" s="13" t="n">
        <x:f aca="0">D27*$B$8</x:f>
        <x:v>17.766</x:v>
      </x:c>
      <x:c r="F27" s="13" t="n">
        <x:f aca="0">E27*$B$9</x:f>
        <x:v>355.31999999999994</x:v>
      </x:c>
      <x:c r="G27" s="17" t="n">
        <x:f aca="0">F27/$B$10</x:f>
        <x:v>27.14231151172561</x:v>
      </x:c>
      <x:c r="H27" s="22" t="n">
        <x:f aca="0">G27/$B$11</x:f>
        <x:v>0.20105415934611562</x:v>
      </x:c>
    </x:row>
    <x:row r="29" ht="15" hidden="0">
      <x:c r="A29" s="12" t="s">
        <x:v>31</x:v>
      </x:c>
      <x:c r="B29" s="4"/>
      <x:c r="C29" s="4"/>
      <x:c r="D29" s="4"/>
      <x:c r="E29" s="4"/>
      <x:c r="F29" s="4"/>
      <x:c r="G29" s="4"/>
    </x:row>
    <x:row r="30" ht="15" hidden="0">
      <x:c r="A30" s="2" t="s">
        <x:v>32</x:v>
      </x:c>
    </x:row>
    <x:row r="31" ht="15" hidden="0">
      <x:c r="A31" s="23" t="s">
        <x:v>33</x:v>
      </x:c>
      <x:c r="B31" s="24" t="n">
        <x:v>10</x:v>
      </x:c>
      <x:c r="C31" s="24" t="n">
        <x:v>15</x:v>
      </x:c>
      <x:c r="D31" s="24" t="n">
        <x:v>20</x:v>
      </x:c>
      <x:c r="E31" s="24" t="n">
        <x:v>25</x:v>
      </x:c>
      <x:c r="F31" s="24" t="n">
        <x:v>30</x:v>
      </x:c>
    </x:row>
    <x:row r="32" ht="15" hidden="0">
      <x:c r="A32" s="25" t="n">
        <x:v>10</x:v>
      </x:c>
      <x:c r="B32" s="26" t="n">
        <x:f aca="0">(($A32*$B$6*12/1000+$B$7)*$B$8*B$31)/$B$10</x:f>
        <x:v>5.832709495072952</x:v>
      </x:c>
      <x:c r="C32" s="26" t="n">
        <x:f aca="0">(($A32*$B$6*12/1000+$B$7)*$B$8*C$31)/$B$10</x:f>
        <x:v>8.749064242609428</x:v>
      </x:c>
      <x:c r="D32" s="26" t="n">
        <x:f aca="0">(($A32*$B$6*12/1000+$B$7)*$B$8*D$31)/$B$10</x:f>
        <x:v>11.665418990145904</x:v>
      </x:c>
      <x:c r="E32" s="26" t="n">
        <x:f aca="0">(($A32*$B$6*12/1000+$B$7)*$B$8*E$31)/$B$10</x:f>
        <x:v>14.58177373768238</x:v>
      </x:c>
      <x:c r="F32" s="26" t="n">
        <x:f aca="0">(($A32*$B$6*12/1000+$B$7)*$B$8*F$31)/$B$10</x:f>
        <x:v>17.498128485218857</x:v>
      </x:c>
    </x:row>
    <x:row r="33" ht="15" hidden="0">
      <x:c r="A33" s="25" t="n">
        <x:v>20</x:v>
      </x:c>
      <x:c r="B33" s="26" t="n">
        <x:f aca="0">(($A33*$B$6*12/1000+$B$7)*$B$8*B$31)/$B$10</x:f>
        <x:v>9.644183026506761</x:v>
      </x:c>
      <x:c r="C33" s="26" t="n">
        <x:f aca="0">(($A33*$B$6*12/1000+$B$7)*$B$8*C$31)/$B$10</x:f>
        <x:v>14.46627453976014</x:v>
      </x:c>
      <x:c r="D33" s="26" t="n">
        <x:f aca="0">(($A33*$B$6*12/1000+$B$7)*$B$8*D$31)/$B$10</x:f>
        <x:v>19.288366053013522</x:v>
      </x:c>
      <x:c r="E33" s="26" t="n">
        <x:f aca="0">(($A33*$B$6*12/1000+$B$7)*$B$8*E$31)/$B$10</x:f>
        <x:v>24.110457566266902</x:v>
      </x:c>
      <x:c r="F33" s="26" t="n">
        <x:f aca="0">(($A33*$B$6*12/1000+$B$7)*$B$8*F$31)/$B$10</x:f>
        <x:v>28.93254907952028</x:v>
      </x:c>
    </x:row>
    <x:row r="34" ht="15" hidden="0">
      <x:c r="A34" s="25" t="n">
        <x:v>30</x:v>
      </x:c>
      <x:c r="B34" s="26" t="n">
        <x:f aca="0">(($A34*$B$6*12/1000+$B$7)*$B$8*B$31)/$B$10</x:f>
        <x:v>13.45565655794057</x:v>
      </x:c>
      <x:c r="C34" s="26" t="n">
        <x:f aca="0">(($A34*$B$6*12/1000+$B$7)*$B$8*C$31)/$B$10</x:f>
        <x:v>20.183484836910853</x:v>
      </x:c>
      <x:c r="D34" s="26" t="n">
        <x:f aca="0">(($A34*$B$6*12/1000+$B$7)*$B$8*D$31)/$B$10</x:f>
        <x:v>26.91131311588114</x:v>
      </x:c>
      <x:c r="E34" s="26" t="n">
        <x:f aca="0">(($A34*$B$6*12/1000+$B$7)*$B$8*E$31)/$B$10</x:f>
        <x:v>33.63914139485142</x:v>
      </x:c>
      <x:c r="F34" s="26" t="n">
        <x:f aca="0">(($A34*$B$6*12/1000+$B$7)*$B$8*F$31)/$B$10</x:f>
        <x:v>40.36696967382171</x:v>
      </x:c>
    </x:row>
    <x:row r="35" ht="15" hidden="0">
      <x:c r="A35" s="25" t="n">
        <x:v>40</x:v>
      </x:c>
      <x:c r="B35" s="26" t="n">
        <x:f aca="0">(($A35*$B$6*12/1000+$B$7)*$B$8*B$31)/$B$10</x:f>
        <x:v>17.26713008937438</x:v>
      </x:c>
      <x:c r="C35" s="26" t="n">
        <x:f aca="0">(($A35*$B$6*12/1000+$B$7)*$B$8*C$31)/$B$10</x:f>
        <x:v>25.90069513406157</x:v>
      </x:c>
      <x:c r="D35" s="26" t="n">
        <x:f aca="0">(($A35*$B$6*12/1000+$B$7)*$B$8*D$31)/$B$10</x:f>
        <x:v>34.53426017874876</x:v>
      </x:c>
      <x:c r="E35" s="26" t="n">
        <x:f aca="0">(($A35*$B$6*12/1000+$B$7)*$B$8*E$31)/$B$10</x:f>
        <x:v>43.167825223435955</x:v>
      </x:c>
      <x:c r="F35" s="26" t="n">
        <x:f aca="0">(($A35*$B$6*12/1000+$B$7)*$B$8*F$31)/$B$10</x:f>
        <x:v>51.80139026812314</x:v>
      </x:c>
    </x:row>
    <x:row r="36" ht="15" hidden="0">
      <x:c r="A36" s="25" t="n">
        <x:v>50</x:v>
      </x:c>
      <x:c r="B36" s="26" t="n">
        <x:f aca="0">(($A36*$B$6*12/1000+$B$7)*$B$8*B$31)/$B$10</x:f>
        <x:v>21.078603620808188</x:v>
      </x:c>
      <x:c r="C36" s="26" t="n">
        <x:f aca="0">(($A36*$B$6*12/1000+$B$7)*$B$8*C$31)/$B$10</x:f>
        <x:v>31.617905431212286</x:v>
      </x:c>
      <x:c r="D36" s="26" t="n">
        <x:f aca="0">(($A36*$B$6*12/1000+$B$7)*$B$8*D$31)/$B$10</x:f>
        <x:v>42.157207241616376</x:v>
      </x:c>
      <x:c r="E36" s="26" t="n">
        <x:f aca="0">(($A36*$B$6*12/1000+$B$7)*$B$8*E$31)/$B$10</x:f>
        <x:v>52.696509052020474</x:v>
      </x:c>
      <x:c r="F36" s="26" t="n">
        <x:f aca="0">(($A36*$B$6*12/1000+$B$7)*$B$8*F$31)/$B$10</x:f>
        <x:v>63.23581086242457</x:v>
      </x:c>
    </x:row>
    <x:row r="38" ht="15" hidden="0">
      <x:c r="A38" s="18" t="s">
        <x:v>34</x:v>
      </x:c>
    </x:row>
    <x:row r="39" ht="15" hidden="0">
      <x:c r="A39" s="27" t="s">
        <x:v>35</x:v>
      </x:c>
    </x:row>
    <x:row r="40" ht="15" hidden="0">
      <x:c r="A40" s="27" t="s">
        <x:v>36</x:v>
      </x:c>
    </x:row>
    <x:row r="41" ht="15" hidden="0">
      <x:c r="A41" s="27" t="s">
        <x:v>37</x:v>
      </x:c>
    </x:row>
    <x:row r="42" ht="15" hidden="0">
      <x:c r="A42" s="27" t="s">
        <x:v>38</x:v>
      </x:c>
    </x:row>
  </x:sheetData>
  <x:pageMargins left="0.7" right="0.7" top="0.75" bottom="0.75" header="0.3" footer="0.3"/>
  <x:legacyDrawing xmlns:r="http://schemas.openxmlformats.org/officeDocument/2006/relationships" r:id="Rdaec27b0abdc400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2" hidden="0" customWidth="1"/>
    <x:col min="2" max="2" width="20" hidden="0" customWidth="1"/>
    <x:col min="3" max="3" width="16" hidden="0" customWidth="1"/>
    <x:col min="4" max="5" width="40" hidden="0" customWidth="1"/>
  </x:cols>
  <x:sheetData>
    <x:row r="1" ht="20.100000381469727" hidden="0">
      <x:c r="A1" s="1" t="s">
        <x:v>39</x:v>
      </x:c>
    </x:row>
    <x:row r="2" ht="15" hidden="0">
      <x:c r="A2" s="2" t="s">
        <x:v>40</x:v>
      </x:c>
    </x:row>
    <x:row r="4" ht="15" hidden="0">
      <x:c r="A4" s="28" t="s">
        <x:v>41</x:v>
      </x:c>
      <x:c r="B4" s="28" t="s">
        <x:v>42</x:v>
      </x:c>
      <x:c r="C4" s="28" t="s">
        <x:v>43</x:v>
      </x:c>
      <x:c r="D4" s="28" t="s">
        <x:v>44</x:v>
      </x:c>
      <x:c r="E4" s="28" t="s">
        <x:v>45</x:v>
      </x:c>
    </x:row>
    <x:row r="5" ht="42" hidden="0" customHeight="1">
      <x:c r="A5" s="29" t="s">
        <x:v>46</x:v>
      </x:c>
      <x:c r="B5" s="30" t="s">
        <x:v>47</x:v>
      </x:c>
      <x:c r="C5" s="30" t="s">
        <x:v>48</x:v>
      </x:c>
      <x:c r="D5" s="31" t="s">
        <x:v>49</x:v>
      </x:c>
      <x:c r="E5" s="31" t="s">
        <x:v>50</x:v>
      </x:c>
    </x:row>
    <x:row r="6" ht="42" hidden="0" customHeight="1">
      <x:c r="A6" s="29" t="s">
        <x:v>51</x:v>
      </x:c>
      <x:c r="B6" s="31" t="s">
        <x:v>52</x:v>
      </x:c>
      <x:c r="C6" s="31" t="s">
        <x:v>53</x:v>
      </x:c>
      <x:c r="D6" s="30" t="s">
        <x:v>54</x:v>
      </x:c>
      <x:c r="E6" s="31" t="s">
        <x:v>55</x:v>
      </x:c>
    </x:row>
    <x:row r="7" ht="42" hidden="0" customHeight="1">
      <x:c r="A7" s="32" t="s">
        <x:v>56</x:v>
      </x:c>
      <x:c r="B7" s="31" t="s">
        <x:v>57</x:v>
      </x:c>
      <x:c r="C7" s="30" t="s">
        <x:v>58</x:v>
      </x:c>
      <x:c r="D7" s="31" t="s">
        <x:v>59</x:v>
      </x:c>
      <x:c r="E7" s="31" t="s">
        <x:v>60</x:v>
      </x:c>
    </x:row>
    <x:row r="8" ht="42" hidden="0" customHeight="1">
      <x:c r="A8" s="33" t="s">
        <x:v>61</x:v>
      </x:c>
      <x:c r="B8" s="30" t="s">
        <x:v>62</x:v>
      </x:c>
      <x:c r="C8" s="31" t="s">
        <x:v>63</x:v>
      </x:c>
      <x:c r="D8" s="31" t="s">
        <x:v>64</x:v>
      </x:c>
      <x:c r="E8" s="31" t="s">
        <x:v>65</x:v>
      </x:c>
    </x:row>
    <x:row r="9" ht="42" hidden="0" customHeight="1">
      <x:c r="A9" s="32" t="s">
        <x:v>66</x:v>
      </x:c>
      <x:c r="B9" s="30" t="s">
        <x:v>67</x:v>
      </x:c>
      <x:c r="C9" s="30" t="s">
        <x:v>68</x:v>
      </x:c>
      <x:c r="D9" s="30" t="s">
        <x:v>69</x:v>
      </x:c>
      <x:c r="E9" s="31" t="s">
        <x:v>70</x:v>
      </x:c>
    </x:row>
    <x:row r="10" ht="42" hidden="0" customHeight="1">
      <x:c r="A10" s="33" t="s">
        <x:v>71</x:v>
      </x:c>
      <x:c r="B10" s="30" t="s">
        <x:v>72</x:v>
      </x:c>
      <x:c r="C10" s="30" t="s">
        <x:v>73</x:v>
      </x:c>
      <x:c r="D10" s="30" t="s">
        <x:v>74</x:v>
      </x:c>
      <x:c r="E10" s="31" t="s">
        <x:v>75</x:v>
      </x:c>
    </x:row>
    <x:row r="11" ht="42" hidden="0" customHeight="1">
      <x:c r="A11" s="33" t="s">
        <x:v>76</x:v>
      </x:c>
      <x:c r="B11" s="30" t="s">
        <x:v>77</x:v>
      </x:c>
      <x:c r="C11" s="30" t="s">
        <x:v>78</x:v>
      </x:c>
      <x:c r="D11" s="30" t="s">
        <x:v>79</x:v>
      </x:c>
      <x:c r="E11" s="30" t="s">
        <x:v>80</x:v>
      </x:c>
    </x:row>
    <x:row r="12" ht="42" hidden="0" customHeight="1">
      <x:c r="A12" s="33" t="s">
        <x:v>81</x:v>
      </x:c>
      <x:c r="B12" s="31" t="s">
        <x:v>82</x:v>
      </x:c>
      <x:c r="C12" s="31" t="s">
        <x:v>83</x:v>
      </x:c>
      <x:c r="D12" s="30" t="s">
        <x:v>84</x:v>
      </x:c>
      <x:c r="E12" s="31" t="s">
        <x:v>85</x:v>
      </x:c>
    </x:row>
    <x:row r="13" ht="42" hidden="0" customHeight="1">
      <x:c r="A13" s="34" t="s">
        <x:v>86</x:v>
      </x:c>
      <x:c r="B13" s="31" t="s">
        <x:v>87</x:v>
      </x:c>
      <x:c r="C13" s="30" t="s">
        <x:v>88</x:v>
      </x:c>
      <x:c r="D13" s="31" t="s">
        <x:v>89</x:v>
      </x:c>
      <x:c r="E13" s="31" t="s">
        <x:v>90</x:v>
      </x:c>
    </x:row>
    <x:row r="16" ht="15" hidden="0">
      <x:c r="A16" s="2" t="s">
        <x:v>91</x:v>
      </x:c>
    </x:row>
    <x:row r="17" ht="15" hidden="0">
      <x:c r="A17" s="2" t="s">
        <x:v>92</x:v>
      </x:c>
    </x:row>
    <x:row r="18" ht="15" hidden="0">
      <x:c r="A18" s="2" t="s">
        <x:v>93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52" hidden="0" customWidth="1"/>
    <x:col min="5" max="5" width="52" hidden="0" customWidth="1"/>
    <x:col min="6" max="6" width="22" hidden="0" customWidth="1"/>
  </x:cols>
  <x:sheetData>
    <x:row r="1">
      <x:c r="A1" s="85" t="str">
        <x:v>SPCX_model.xlsx — 모델 검토 요약</x:v>
      </x:c>
      <x:c r="B1"/>
      <x:c r="C1"/>
      <x:c r="D1"/>
      <x:c r="E1"/>
      <x:c r="F1"/>
    </x:row>
    <x:row r="2">
      <x:c r="A2" s="89" t="str">
        <x:v>검토 기준: 업로드 워크북 + SEC FWP/S-1/A + Nasdaq methodology. 원본 시트는 보존하고, 보정 검토 시트를 추가했습니다.</x:v>
      </x:c>
      <x:c r="B2"/>
      <x:c r="C2"/>
      <x:c r="D2"/>
      <x:c r="E2"/>
      <x:c r="F2"/>
    </x:row>
    <x:row r="4">
      <x:c r="A4" s="80" t="str">
        <x:v>핵심 결론</x:v>
      </x:c>
      <x:c r="B4" s="80" t="str">
        <x:v>설명</x:v>
      </x:c>
    </x:row>
    <x:row r="5">
      <x:c r="A5" s="96" t="str">
        <x:v>공식 오류</x:v>
      </x:c>
      <x:c r="B5" s="100" t="str">
        <x:v>업로드본에서 #REF!, #DIV/0!, #VALUE! 등 명백한 수식 오류는 발견하지 못했습니다.</x:v>
      </x:c>
    </x:row>
    <x:row r="6">
      <x:c r="A6" s="96" t="str">
        <x:v>가장 큰 수정점</x:v>
      </x:c>
      <x:c r="B6" s="100" t="str">
        <x:v>Forward 시나리오 설명문($18B/$25B EBITDA)과 현재 수식(63% 마진, 기타매출 $4.2B)이 서로 맞지 않습니다.</x:v>
      </x:c>
    </x:row>
    <x:row r="7">
      <x:c r="A7" s="96" t="str">
        <x:v>밸류에이션 해석</x:v>
      </x:c>
      <x:c r="B7" s="100" t="str">
        <x:v>현재/트레일링 Connectivity만 보면 $135는 바닥가치가 아니라 옵션 프리미엄이 지배하는 가격이라는 결론은 유지됩니다.</x:v>
      </x:c>
    </x:row>
    <x:row r="8">
      <x:c r="A8" s="96" t="str">
        <x:v>캘린더 수정</x:v>
      </x:c>
      <x:c r="B8" s="100" t="str">
        <x:v>Nasdaq-100 fast-entry는 15 calendar days가 아니라 15 trading days 기준으로 보아야 합니다.</x:v>
      </x:c>
    </x:row>
    <x:row r="11">
      <x:c r="A11" s="106" t="str">
        <x:v>Severity</x:v>
      </x:c>
      <x:c r="B11" s="106" t="str">
        <x:v>Sheet / Range</x:v>
      </x:c>
      <x:c r="C11" s="106" t="str">
        <x:v>Finding</x:v>
      </x:c>
      <x:c r="D11" s="106" t="str">
        <x:v>Why it matters</x:v>
      </x:c>
      <x:c r="E11" s="106" t="str">
        <x:v>Recommended fix</x:v>
      </x:c>
      <x:c r="F11" s="106" t="str">
        <x:v>Status</x:v>
      </x:c>
    </x:row>
    <x:row r="12">
      <x:c r="A12" s="108" t="str">
        <x:v>High</x:v>
      </x:c>
      <x:c r="B12" s="81" t="str">
        <x:v>Starlink_Valuation rows 25–27 / 39–41</x:v>
      </x:c>
      <x:c r="C12" s="81" t="str">
        <x:v>Forward EBITDA 설명과 수식 결과 불일치</x:v>
      </x:c>
      <x:c r="D12" s="81" t="str">
        <x:v>현재 수식은 30M/$50에서 EBITDA $14.0B, 50M/$40에서 $17.8B를 산출하지만 설명문은 $18B/$25B를 전제합니다.</x:v>
      </x:c>
      <x:c r="E12" s="81" t="str">
        <x:v>EBITDA override를 명시하거나, 결론값을 formula-only 결과로 낮추세요.</x:v>
      </x:c>
      <x:c r="F12" s="81" t="str">
        <x:v>Added in Corrected_Valuation</x:v>
      </x:c>
    </x:row>
    <x:row r="13">
      <x:c r="A13" s="108" t="str">
        <x:v>High</x:v>
      </x:c>
      <x:c r="B13" s="81" t="str">
        <x:v>Starlink_Valuation B5:B8</x:v>
      </x:c>
      <x:c r="C13" s="81" t="str">
        <x:v>Q1 가입자·2025 마진·가정 ARPU/기타매출 혼합</x:v>
      </x:c>
      <x:c r="D13" s="81" t="str">
        <x:v>공식 trailing valuation과 run-rate illustrative model이 섞이면 사용자가 공식 실적으로 오해할 수 있습니다.</x:v>
      </x:c>
      <x:c r="E13" s="81" t="str">
        <x:v>현재 입력값 기준 표에는 'illustrative run-rate' 라벨을 붙이고, 공식 2025 EBITDA/EBIT 표를 별도로 두세요.</x:v>
      </x:c>
      <x:c r="F13" s="81" t="str">
        <x:v>Added</x:v>
      </x:c>
    </x:row>
    <x:row r="14">
      <x:c r="A14" s="110" t="str">
        <x:v>Medium</x:v>
      </x:c>
      <x:c r="B14" s="81" t="str">
        <x:v>Starlink_Valuation rows 14–21</x:v>
      </x:c>
      <x:c r="C14" s="81" t="str">
        <x:v>EBITDA multiple 중심</x:v>
      </x:c>
      <x:c r="D14" s="81" t="str">
        <x:v>위성망은 D&amp;A, 교체투자, 성장 CapEx가 커서 EBITDA가 곧 FCF는 아닙니다.</x:v>
      </x:c>
      <x:c r="E14" s="81" t="str">
        <x:v>EBIT multiple cross-check를 추가하세요.</x:v>
      </x:c>
      <x:c r="F14" s="81" t="str">
        <x:v>Added</x:v>
      </x:c>
    </x:row>
    <x:row r="15">
      <x:c r="A15" s="110" t="str">
        <x:v>Medium</x:v>
      </x:c>
      <x:c r="B15" s="81" t="str">
        <x:v>Lockup_Calendar row 7</x:v>
      </x:c>
      <x:c r="C15" s="81" t="str">
        <x:v>Day 15를 calendar-day처럼 표시</x:v>
      </x:c>
      <x:c r="D15" s="81" t="str">
        <x:v>Nasdaq methodology는 fast-entry를 15 trading days 기준으로 설명합니다.</x:v>
      </x:c>
      <x:c r="E15" s="81" t="str">
        <x:v>2026-06-12 거래 개시 가정 시 Juneteenth와 July 3 휴장을 반영하면 15th trading day는 2026-07-06입니다.</x:v>
      </x:c>
      <x:c r="F15" s="81" t="str">
        <x:v>Added in Calendar_Audit</x:v>
      </x:c>
    </x:row>
    <x:row r="16">
      <x:c r="A16" s="110" t="str">
        <x:v>Medium</x:v>
      </x:c>
      <x:c r="B16" s="81" t="str">
        <x:v>Lockup_Calendar E11</x:v>
      </x:c>
      <x:c r="C16" s="81" t="str">
        <x:v>Musk 의결권 85.1% 표기</x:v>
      </x:c>
      <x:c r="D16" s="81" t="str">
        <x:v>FWP 표상 after offering combined voting power는 84.4%, 85.1%는 before offer 수치입니다.</x:v>
      </x:c>
      <x:c r="E16" s="81" t="str">
        <x:v>상장 후 기준은 84.4%로 수정하고, 85.1%는 before-offer라고 주석 처리하세요.</x:v>
      </x:c>
      <x:c r="F16" s="81" t="str">
        <x:v>Flagged</x:v>
      </x:c>
    </x:row>
    <x:row r="17">
      <x:c r="A17" s="110" t="str">
        <x:v>Medium</x:v>
      </x:c>
      <x:c r="B17" s="81" t="str">
        <x:v>Lockup_Calendar row 6</x:v>
      </x:c>
      <x:c r="C17" s="81" t="str">
        <x:v>유통 ~5% 표현</x:v>
      </x:c>
      <x:c r="D17" s="81" t="str">
        <x:v>신주 공모분 555.6M / post-offer 총주식 13.091B = 4.2%입니다. 실제 free float은 정의/추가 물량에 따라 달라질 수 있습니다.</x:v>
      </x:c>
      <x:c r="E17" s="81" t="str">
        <x:v>공모분 기준 4.2%라고 명시하고, 자유유통비율은 최종 투설 확인 항목으로 분리하세요.</x:v>
      </x:c>
      <x:c r="F17" s="81" t="str">
        <x:v>Added</x:v>
      </x:c>
    </x:row>
    <x:row r="18">
      <x:c r="A18" s="112" t="str">
        <x:v>Low</x:v>
      </x:c>
      <x:c r="B18" s="81" t="str">
        <x:v>Starlink_Valuation sensitivity grid</x:v>
      </x:c>
      <x:c r="C18" s="81" t="str">
        <x:v>고가입자 구간에서도 ARPU $66 고정</x:v>
      </x:c>
      <x:c r="D18" s="81" t="str">
        <x:v>가입자 확대 시 저가 지역 믹스 때문에 ARPU 하락 가능성이 있습니다.</x:v>
      </x:c>
      <x:c r="E18" s="81" t="str">
        <x:v>가입자 × ARPU 2D 민감도를 추가하세요.</x:v>
      </x:c>
      <x:c r="F18" s="81" t="str">
        <x:v>Added</x:v>
      </x:c>
    </x:row>
    <x:row r="19">
      <x:c r="A19" s="112" t="str">
        <x:v>Low</x:v>
      </x:c>
      <x:c r="B19" s="81" t="str">
        <x:v>Workbook-wide</x:v>
      </x:c>
      <x:c r="C19" s="81" t="str">
        <x:v>출처 URL 부재</x:v>
      </x:c>
      <x:c r="D19" s="81" t="str">
        <x:v>금융모델 입력값은 원천 데이터 추적성이 중요합니다.</x:v>
      </x:c>
      <x:c r="E19" s="81" t="str">
        <x:v>Sources sheet와 입력 출처 표시를 추가하세요.</x:v>
      </x:c>
      <x:c r="F19" s="81" t="str">
        <x:v>Added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22" hidden="0" customWidth="1"/>
    <x:col min="5" max="5" width="14" hidden="0" customWidth="1"/>
    <x:col min="6" max="6" width="16" hidden="0" customWidth="1"/>
    <x:col min="7" max="7" width="16" hidden="0" customWidth="1"/>
    <x:col min="8" max="8" width="18" hidden="0" customWidth="1"/>
    <x:col min="9" max="9" width="12" hidden="0" customWidth="1"/>
    <x:col min="10" max="10" width="15" hidden="0" customWidth="1"/>
    <x:col min="11" max="11" width="14" hidden="0" customWidth="1"/>
    <x:col min="12" max="12" width="12" hidden="0" customWidth="1"/>
    <x:col min="13" max="13" width="12" hidden="0" customWidth="1"/>
    <x:col min="14" max="14" width="30" hidden="0" customWidth="1"/>
  </x:cols>
  <x:sheetData>
    <x:row r="1">
      <x:c r="A1" s="176" t="str">
        <x:v>SPCX — Corrected Valuation Audit</x:v>
      </x:c>
      <x:c r="B1" s="177"/>
      <x:c r="C1" s="177"/>
      <x:c r="D1" s="177"/>
      <x:c r="E1" s="177"/>
      <x:c r="F1" s="177"/>
      <x:c r="G1" s="177"/>
      <x:c r="H1" s="177"/>
      <x:c r="I1" s="177"/>
      <x:c r="J1" s="177"/>
      <x:c r="K1" s="177"/>
      <x:c r="L1" s="177"/>
      <x:c r="M1" s="177"/>
      <x:c r="N1" s="177"/>
    </x:row>
    <x:row r="2">
      <x:c r="A2" s="178" t="str">
        <x:v>원본 모델의 결론을 유지하되, official trailing / formula-only / EBITDA override 시나리오를 분리했습니다. 단위는 별도 표기.</x:v>
      </x:c>
      <x:c r="B2" s="177"/>
      <x:c r="C2" s="177"/>
      <x:c r="D2" s="177"/>
      <x:c r="E2" s="177"/>
      <x:c r="F2" s="177"/>
      <x:c r="G2" s="177"/>
      <x:c r="H2" s="177"/>
      <x:c r="I2" s="177"/>
      <x:c r="J2" s="177"/>
      <x:c r="K2" s="177"/>
      <x:c r="L2" s="177"/>
      <x:c r="M2" s="177"/>
      <x:c r="N2" s="177"/>
    </x:row>
    <x:row r="3">
      <x:c r="A3" s="177"/>
      <x:c r="B3" s="177"/>
      <x:c r="C3" s="177"/>
      <x:c r="D3" s="177"/>
      <x:c r="E3" s="177"/>
      <x:c r="F3" s="177"/>
      <x:c r="G3" s="177"/>
      <x:c r="H3" s="177"/>
      <x:c r="I3" s="177"/>
      <x:c r="J3" s="177"/>
      <x:c r="K3" s="177"/>
      <x:c r="L3" s="177"/>
      <x:c r="M3" s="177"/>
      <x:c r="N3" s="177"/>
    </x:row>
    <x:row r="4">
      <x:c r="A4" s="179" t="str">
        <x:v>Input</x:v>
      </x:c>
      <x:c r="B4" s="179" t="str">
        <x:v>Value</x:v>
      </x:c>
      <x:c r="C4" s="179" t="str">
        <x:v>Unit</x:v>
      </x:c>
      <x:c r="D4" s="179" t="str">
        <x:v>Source / Note</x:v>
      </x:c>
      <x:c r="E4" s="177"/>
      <x:c r="F4" s="177"/>
      <x:c r="G4" s="177"/>
      <x:c r="H4" s="177"/>
      <x:c r="I4" s="177"/>
      <x:c r="J4" s="177"/>
      <x:c r="K4" s="177"/>
      <x:c r="L4" s="177"/>
      <x:c r="M4" s="177"/>
      <x:c r="N4" s="177"/>
    </x:row>
    <x:row r="5">
      <x:c r="A5" s="180" t="str">
        <x:v>Offering price</x:v>
      </x:c>
      <x:c r="B5" s="181" t="n">
        <x:v>135</x:v>
      </x:c>
      <x:c r="C5" s="182" t="str">
        <x:v>$/share</x:v>
      </x:c>
      <x:c r="D5" s="81" t="str">
        <x:v>SEC FWP factsheet</x:v>
      </x:c>
      <x:c r="E5" s="177"/>
      <x:c r="F5" s="177"/>
      <x:c r="G5" s="177"/>
      <x:c r="H5" s="177"/>
      <x:c r="I5" s="177"/>
      <x:c r="J5" s="177"/>
      <x:c r="K5" s="177"/>
      <x:c r="L5" s="177"/>
      <x:c r="M5" s="177"/>
      <x:c r="N5" s="177"/>
    </x:row>
    <x:row r="6">
      <x:c r="A6" s="180" t="str">
        <x:v>Class A shares after offer</x:v>
      </x:c>
      <x:c r="B6" s="183" t="n">
        <x:v>7.488063555</x:v>
      </x:c>
      <x:c r="C6" s="182" t="str">
        <x:v>B shares</x:v>
      </x:c>
      <x:c r="D6" s="81" t="str">
        <x:v>SEC FWP shareholding table</x:v>
      </x:c>
      <x:c r="E6" s="177"/>
      <x:c r="F6" s="177"/>
      <x:c r="G6" s="177"/>
      <x:c r="H6" s="177"/>
      <x:c r="I6" s="177"/>
      <x:c r="J6" s="177"/>
      <x:c r="K6" s="177"/>
      <x:c r="L6" s="177"/>
      <x:c r="M6" s="177"/>
      <x:c r="N6" s="177"/>
    </x:row>
    <x:row r="7">
      <x:c r="A7" s="180" t="str">
        <x:v>Class B shares after offer</x:v>
      </x:c>
      <x:c r="B7" s="183" t="n">
        <x:v>5.60279041</x:v>
      </x:c>
      <x:c r="C7" s="182" t="str">
        <x:v>B shares</x:v>
      </x:c>
      <x:c r="D7" s="81" t="str">
        <x:v>SEC FWP shareholding table</x:v>
      </x:c>
      <x:c r="E7" s="177"/>
      <x:c r="F7" s="177"/>
      <x:c r="G7" s="177"/>
      <x:c r="H7" s="177"/>
      <x:c r="I7" s="177"/>
      <x:c r="J7" s="177"/>
      <x:c r="K7" s="177"/>
      <x:c r="L7" s="177"/>
      <x:c r="M7" s="177"/>
      <x:c r="N7" s="177"/>
    </x:row>
    <x:row r="8">
      <x:c r="A8" s="180" t="str">
        <x:v>Total shares after offer</x:v>
      </x:c>
      <x:c r="B8" s="184" t="n">
        <x:f>B6+B7</x:f>
        <x:v>13.090853965</x:v>
      </x:c>
      <x:c r="C8" s="182" t="str">
        <x:v>B shares</x:v>
      </x:c>
      <x:c r="D8" s="81" t="str">
        <x:v>Formula = Class A + Class B</x:v>
      </x:c>
      <x:c r="E8" s="177"/>
      <x:c r="F8" s="177"/>
      <x:c r="G8" s="177"/>
      <x:c r="H8" s="177"/>
      <x:c r="I8" s="177"/>
      <x:c r="J8" s="177"/>
      <x:c r="K8" s="177"/>
      <x:c r="L8" s="177"/>
      <x:c r="M8" s="177"/>
      <x:c r="N8" s="177"/>
    </x:row>
    <x:row r="9">
      <x:c r="A9" s="180" t="str">
        <x:v>Primary offering shares</x:v>
      </x:c>
      <x:c r="B9" s="184" t="n">
        <x:v>0.555555555</x:v>
      </x:c>
      <x:c r="C9" s="182" t="str">
        <x:v>B shares</x:v>
      </x:c>
      <x:c r="D9" s="81" t="str">
        <x:v>SEC FWP factsheet</x:v>
      </x:c>
      <x:c r="E9" s="177"/>
      <x:c r="F9" s="177"/>
      <x:c r="G9" s="177"/>
      <x:c r="H9" s="177"/>
      <x:c r="I9" s="177"/>
      <x:c r="J9" s="177"/>
      <x:c r="K9" s="177"/>
      <x:c r="L9" s="177"/>
      <x:c r="M9" s="177"/>
      <x:c r="N9" s="177"/>
    </x:row>
    <x:row r="10">
      <x:c r="A10" s="180" t="str">
        <x:v>Public-offer shares / total</x:v>
      </x:c>
      <x:c r="B10" s="185" t="n">
        <x:f>B9/B8</x:f>
        <x:v>0.0424384502711088</x:v>
      </x:c>
      <x:c r="C10" s="182" t="str">
        <x:v>%</x:v>
      </x:c>
      <x:c r="D10" s="81" t="str">
        <x:v>Formula; not necessarily full free float</x:v>
      </x:c>
      <x:c r="E10" s="177"/>
      <x:c r="F10" s="177"/>
      <x:c r="G10" s="177"/>
      <x:c r="H10" s="177"/>
      <x:c r="I10" s="177"/>
      <x:c r="J10" s="177"/>
      <x:c r="K10" s="177"/>
      <x:c r="L10" s="177"/>
      <x:c r="M10" s="177"/>
      <x:c r="N10" s="177"/>
    </x:row>
    <x:row r="11">
      <x:c r="A11" s="180" t="str">
        <x:v>Market cap at $135</x:v>
      </x:c>
      <x:c r="B11" s="186" t="n">
        <x:f>B5*B8</x:f>
        <x:v>1767.2652852750002</x:v>
      </x:c>
      <x:c r="C11" s="182" t="str">
        <x:v>$B</x:v>
      </x:c>
      <x:c r="D11" s="81" t="str">
        <x:v>Formula = price × total shares</x:v>
      </x:c>
      <x:c r="E11" s="177"/>
      <x:c r="F11" s="177"/>
      <x:c r="G11" s="177"/>
      <x:c r="H11" s="177"/>
      <x:c r="I11" s="177"/>
      <x:c r="J11" s="177"/>
      <x:c r="K11" s="177"/>
      <x:c r="L11" s="177"/>
      <x:c r="M11" s="177"/>
      <x:c r="N11" s="177"/>
    </x:row>
    <x:row r="12">
      <x:c r="A12" s="180" t="str">
        <x:v>Connectivity revenue 2025</x:v>
      </x:c>
      <x:c r="B12" s="187" t="n">
        <x:v>11.4</x:v>
      </x:c>
      <x:c r="C12" s="182" t="str">
        <x:v>$B</x:v>
      </x:c>
      <x:c r="D12" s="81" t="str">
        <x:v>SEC FWP / roadshow</x:v>
      </x:c>
      <x:c r="E12" s="177"/>
      <x:c r="F12" s="177"/>
      <x:c r="G12" s="177"/>
      <x:c r="H12" s="177"/>
      <x:c r="I12" s="177"/>
      <x:c r="J12" s="177"/>
      <x:c r="K12" s="177"/>
      <x:c r="L12" s="177"/>
      <x:c r="M12" s="177"/>
      <x:c r="N12" s="177"/>
    </x:row>
    <x:row r="13">
      <x:c r="A13" s="180" t="str">
        <x:v>Connectivity Segment Adj. EBITDA 2025</x:v>
      </x:c>
      <x:c r="B13" s="187" t="n">
        <x:v>7.2</x:v>
      </x:c>
      <x:c r="C13" s="182" t="str">
        <x:v>$B</x:v>
      </x:c>
      <x:c r="D13" s="81" t="str">
        <x:v>SEC FWP / roadshow</x:v>
      </x:c>
      <x:c r="E13" s="177"/>
      <x:c r="F13" s="177"/>
      <x:c r="G13" s="177"/>
      <x:c r="H13" s="177"/>
      <x:c r="I13" s="177"/>
      <x:c r="J13" s="177"/>
      <x:c r="K13" s="177"/>
      <x:c r="L13" s="177"/>
      <x:c r="M13" s="177"/>
      <x:c r="N13" s="177"/>
    </x:row>
    <x:row r="14">
      <x:c r="A14" s="180" t="str">
        <x:v>Connectivity operating income 2025</x:v>
      </x:c>
      <x:c r="B14" s="187" t="n">
        <x:v>4.4</x:v>
      </x:c>
      <x:c r="C14" s="182" t="str">
        <x:v>$B</x:v>
      </x:c>
      <x:c r="D14" s="81" t="str">
        <x:v>SEC FWP / roadshow</x:v>
      </x:c>
      <x:c r="E14" s="177"/>
      <x:c r="F14" s="177"/>
      <x:c r="G14" s="177"/>
      <x:c r="H14" s="177"/>
      <x:c r="I14" s="177"/>
      <x:c r="J14" s="177"/>
      <x:c r="K14" s="177"/>
      <x:c r="L14" s="177"/>
      <x:c r="M14" s="177"/>
      <x:c r="N14" s="177"/>
    </x:row>
    <x:row r="15">
      <x:c r="A15" s="180" t="str">
        <x:v>Starlink subscribers as of 2026-03-31</x:v>
      </x:c>
      <x:c r="B15" s="188" t="n">
        <x:v>10.3</x:v>
      </x:c>
      <x:c r="C15" s="182" t="str">
        <x:v>M</x:v>
      </x:c>
      <x:c r="D15" s="81" t="str">
        <x:v>SEC FWP / roadshow</x:v>
      </x:c>
      <x:c r="E15" s="177"/>
      <x:c r="F15" s="177"/>
      <x:c r="G15" s="177"/>
      <x:c r="H15" s="177"/>
      <x:c r="I15" s="177"/>
      <x:c r="J15" s="177"/>
      <x:c r="K15" s="177"/>
      <x:c r="L15" s="177"/>
      <x:c r="M15" s="177"/>
      <x:c r="N15" s="177"/>
    </x:row>
    <x:row r="16">
      <x:c r="A16" s="180" t="str">
        <x:v>Illustrative ARPU</x:v>
      </x:c>
      <x:c r="B16" s="187" t="n">
        <x:v>66</x:v>
      </x:c>
      <x:c r="C16" s="182" t="str">
        <x:v>$/month</x:v>
      </x:c>
      <x:c r="D16" s="81" t="str">
        <x:v>Model assumption; editable</x:v>
      </x:c>
      <x:c r="E16" s="177"/>
      <x:c r="F16" s="177"/>
      <x:c r="G16" s="177"/>
      <x:c r="H16" s="177"/>
      <x:c r="I16" s="177"/>
      <x:c r="J16" s="177"/>
      <x:c r="K16" s="177"/>
      <x:c r="L16" s="177"/>
      <x:c r="M16" s="177"/>
      <x:c r="N16" s="177"/>
    </x:row>
    <x:row r="17">
      <x:c r="A17" s="180" t="str">
        <x:v>Illustrative other annual revenue</x:v>
      </x:c>
      <x:c r="B17" s="187" t="n">
        <x:v>4.2</x:v>
      </x:c>
      <x:c r="C17" s="182" t="str">
        <x:v>$B/year</x:v>
      </x:c>
      <x:c r="D17" s="81" t="str">
        <x:v>Model assumption; editable</x:v>
      </x:c>
      <x:c r="E17" s="177"/>
      <x:c r="F17" s="177"/>
      <x:c r="G17" s="177"/>
      <x:c r="H17" s="177"/>
      <x:c r="I17" s="177"/>
      <x:c r="J17" s="177"/>
      <x:c r="K17" s="177"/>
      <x:c r="L17" s="177"/>
      <x:c r="M17" s="177"/>
      <x:c r="N17" s="177"/>
    </x:row>
    <x:row r="18">
      <x:c r="A18" s="180" t="str">
        <x:v>Illustrative EBITDA margin</x:v>
      </x:c>
      <x:c r="B18" s="189" t="n">
        <x:v>0.63</x:v>
      </x:c>
      <x:c r="C18" s="182" t="str">
        <x:v>%</x:v>
      </x:c>
      <x:c r="D18" s="81" t="str">
        <x:v>Model assumption aligned to 2025 rounded margin</x:v>
      </x:c>
      <x:c r="E18" s="177"/>
      <x:c r="F18" s="177"/>
      <x:c r="G18" s="177"/>
      <x:c r="H18" s="177"/>
      <x:c r="I18" s="177"/>
      <x:c r="J18" s="177"/>
      <x:c r="K18" s="177"/>
      <x:c r="L18" s="177"/>
      <x:c r="M18" s="177"/>
      <x:c r="N18" s="177"/>
    </x:row>
    <x:row r="19">
      <x:c r="A19" s="180" t="str">
        <x:v>Default EV/EBITDA multiple</x:v>
      </x:c>
      <x:c r="B19" s="190" t="n">
        <x:v>20</x:v>
      </x:c>
      <x:c r="C19" s="182" t="str">
        <x:v>x</x:v>
      </x:c>
      <x:c r="D19" s="81" t="str">
        <x:v>Model assumption; editable</x:v>
      </x:c>
      <x:c r="E19" s="177"/>
      <x:c r="F19" s="177"/>
      <x:c r="G19" s="177"/>
      <x:c r="H19" s="177"/>
      <x:c r="I19" s="177"/>
      <x:c r="J19" s="177"/>
      <x:c r="K19" s="177"/>
      <x:c r="L19" s="177"/>
      <x:c r="M19" s="177"/>
      <x:c r="N19" s="177"/>
    </x:row>
    <x:row r="20">
      <x:c r="A20" s="180" t="str">
        <x:v>Forward EV/EBITDA multiple</x:v>
      </x:c>
      <x:c r="B20" s="190" t="n">
        <x:v>25</x:v>
      </x:c>
      <x:c r="C20" s="182" t="str">
        <x:v>x</x:v>
      </x:c>
      <x:c r="D20" s="81" t="str">
        <x:v>Model assumption; editable</x:v>
      </x:c>
      <x:c r="E20" s="177"/>
      <x:c r="F20" s="177"/>
      <x:c r="G20" s="177"/>
      <x:c r="H20" s="177"/>
      <x:c r="I20" s="177"/>
      <x:c r="J20" s="177"/>
      <x:c r="K20" s="177"/>
      <x:c r="L20" s="177"/>
      <x:c r="M20" s="177"/>
      <x:c r="N20" s="177"/>
    </x:row>
    <x:row r="21">
      <x:c r="A21" s="177"/>
      <x:c r="B21" s="177"/>
      <x:c r="C21" s="177"/>
      <x:c r="D21" s="177"/>
      <x:c r="E21" s="177"/>
      <x:c r="F21" s="177"/>
      <x:c r="G21" s="177"/>
      <x:c r="H21" s="177"/>
      <x:c r="I21" s="177"/>
      <x:c r="J21" s="177"/>
      <x:c r="K21" s="177"/>
      <x:c r="L21" s="177"/>
      <x:c r="M21" s="177"/>
      <x:c r="N21" s="177"/>
    </x:row>
    <x:row r="22">
      <x:c r="A22" s="177"/>
      <x:c r="B22" s="177"/>
      <x:c r="C22" s="177"/>
      <x:c r="D22" s="177"/>
      <x:c r="E22" s="177"/>
      <x:c r="F22" s="177"/>
      <x:c r="G22" s="177"/>
      <x:c r="H22" s="177"/>
      <x:c r="I22" s="177"/>
      <x:c r="J22" s="177"/>
      <x:c r="K22" s="177"/>
      <x:c r="L22" s="177"/>
      <x:c r="M22" s="177"/>
      <x:c r="N22" s="177"/>
    </x:row>
    <x:row r="23">
      <x:c r="A23" s="191" t="str">
        <x:v>Trailing Connectivity value cross-check</x:v>
      </x:c>
      <x:c r="B23" s="177"/>
      <x:c r="C23" s="177"/>
      <x:c r="D23" s="177"/>
      <x:c r="E23" s="177"/>
      <x:c r="F23" s="177"/>
      <x:c r="G23" s="177"/>
      <x:c r="H23" s="177"/>
      <x:c r="I23" s="177"/>
      <x:c r="J23" s="177"/>
      <x:c r="K23" s="177"/>
      <x:c r="L23" s="177"/>
      <x:c r="M23" s="177"/>
      <x:c r="N23" s="177"/>
    </x:row>
    <x:row r="24">
      <x:c r="A24" s="192" t="str">
        <x:v>Method</x:v>
      </x:c>
      <x:c r="B24" s="192" t="str">
        <x:v>Metric ($B)</x:v>
      </x:c>
      <x:c r="C24" s="192" t="str">
        <x:v>Multiple (x)</x:v>
      </x:c>
      <x:c r="D24" s="192" t="str">
        <x:v>EV ($B)</x:v>
      </x:c>
      <x:c r="E24" s="192" t="str">
        <x:v>$/Share</x:v>
      </x:c>
      <x:c r="F24" s="192" t="str">
        <x:v>% of $135</x:v>
      </x:c>
      <x:c r="G24" s="192" t="str">
        <x:v>Option premium $/sh</x:v>
      </x:c>
      <x:c r="H24" s="177"/>
      <x:c r="I24" s="177"/>
      <x:c r="J24" s="177"/>
      <x:c r="K24" s="177"/>
      <x:c r="L24" s="177"/>
      <x:c r="M24" s="177"/>
      <x:c r="N24" s="177"/>
    </x:row>
    <x:row r="25">
      <x:c r="A25" s="193" t="str">
        <x:v>EBITDA conservative</x:v>
      </x:c>
      <x:c r="B25" s="194" t="n">
        <x:f>$B$13</x:f>
        <x:v>7.2</x:v>
      </x:c>
      <x:c r="C25" s="195" t="n">
        <x:v>10</x:v>
      </x:c>
      <x:c r="D25" s="194" t="n">
        <x:f>B25*C25</x:f>
        <x:v>72</x:v>
      </x:c>
      <x:c r="E25" s="194" t="n">
        <x:f>D25/$B$8</x:f>
        <x:v>5.500023160635724</x:v>
      </x:c>
      <x:c r="F25" s="196" t="n">
        <x:f>E25/$B$5</x:f>
        <x:v>0.040740912301005364</x:v>
      </x:c>
      <x:c r="G25" s="194" t="n">
        <x:f>$B$5-E25</x:f>
        <x:v>129.49997683936428</x:v>
      </x:c>
      <x:c r="H25" s="177"/>
      <x:c r="I25" s="177"/>
      <x:c r="J25" s="177"/>
      <x:c r="K25" s="177"/>
      <x:c r="L25" s="177"/>
      <x:c r="M25" s="177"/>
      <x:c r="N25" s="177"/>
    </x:row>
    <x:row r="26">
      <x:c r="A26" s="193" t="str">
        <x:v>EBITDA base</x:v>
      </x:c>
      <x:c r="B26" s="194" t="n">
        <x:f>$B$13</x:f>
        <x:v>7.2</x:v>
      </x:c>
      <x:c r="C26" s="195" t="n">
        <x:v>20</x:v>
      </x:c>
      <x:c r="D26" s="194" t="n">
        <x:f>B26*C26</x:f>
        <x:v>144</x:v>
      </x:c>
      <x:c r="E26" s="194" t="n">
        <x:f>D26/$B$8</x:f>
        <x:v>11.000046321271448</x:v>
      </x:c>
      <x:c r="F26" s="196" t="n">
        <x:f>E26/$B$5</x:f>
        <x:v>0.08148182460201073</x:v>
      </x:c>
      <x:c r="G26" s="194" t="n">
        <x:f>$B$5-E26</x:f>
        <x:v>123.99995367872856</x:v>
      </x:c>
      <x:c r="H26" s="177"/>
      <x:c r="I26" s="177"/>
      <x:c r="J26" s="177"/>
      <x:c r="K26" s="177"/>
      <x:c r="L26" s="177"/>
      <x:c r="M26" s="177"/>
      <x:c r="N26" s="177"/>
    </x:row>
    <x:row r="27">
      <x:c r="A27" s="193" t="str">
        <x:v>EBITDA aggressive</x:v>
      </x:c>
      <x:c r="B27" s="194" t="n">
        <x:f>$B$13</x:f>
        <x:v>7.2</x:v>
      </x:c>
      <x:c r="C27" s="195" t="n">
        <x:v>30</x:v>
      </x:c>
      <x:c r="D27" s="194" t="n">
        <x:f>B27*C27</x:f>
        <x:v>216</x:v>
      </x:c>
      <x:c r="E27" s="194" t="n">
        <x:f>D27/$B$8</x:f>
        <x:v>16.500069481907172</x:v>
      </x:c>
      <x:c r="F27" s="196" t="n">
        <x:f>E27/$B$5</x:f>
        <x:v>0.12222273690301609</x:v>
      </x:c>
      <x:c r="G27" s="194" t="n">
        <x:f>$B$5-E27</x:f>
        <x:v>118.49993051809282</x:v>
      </x:c>
      <x:c r="H27" s="177"/>
      <x:c r="I27" s="177"/>
      <x:c r="J27" s="177"/>
      <x:c r="K27" s="177"/>
      <x:c r="L27" s="177"/>
      <x:c r="M27" s="177"/>
      <x:c r="N27" s="177"/>
    </x:row>
    <x:row r="28">
      <x:c r="A28" s="193" t="str">
        <x:v>EBIT sanity</x:v>
      </x:c>
      <x:c r="B28" s="194" t="n">
        <x:f>$B$14</x:f>
        <x:v>4.4</x:v>
      </x:c>
      <x:c r="C28" s="195" t="n">
        <x:v>15</x:v>
      </x:c>
      <x:c r="D28" s="194" t="n">
        <x:f>B28*C28</x:f>
        <x:v>66</x:v>
      </x:c>
      <x:c r="E28" s="194" t="n">
        <x:f>D28/$B$8</x:f>
        <x:v>5.041687897249413</x:v>
      </x:c>
      <x:c r="F28" s="196" t="n">
        <x:f>E28/$B$5</x:f>
        <x:v>0.03734583627592158</x:v>
      </x:c>
      <x:c r="G28" s="194" t="n">
        <x:f>$B$5-E28</x:f>
        <x:v>129.9583121027506</x:v>
      </x:c>
      <x:c r="H28" s="177"/>
      <x:c r="I28" s="177"/>
      <x:c r="J28" s="177"/>
      <x:c r="K28" s="177"/>
      <x:c r="L28" s="177"/>
      <x:c r="M28" s="177"/>
      <x:c r="N28" s="177"/>
    </x:row>
    <x:row r="29">
      <x:c r="A29" s="193" t="str">
        <x:v>EBIT sanity</x:v>
      </x:c>
      <x:c r="B29" s="194" t="n">
        <x:f>$B$14</x:f>
        <x:v>4.4</x:v>
      </x:c>
      <x:c r="C29" s="195" t="n">
        <x:v>25</x:v>
      </x:c>
      <x:c r="D29" s="194" t="n">
        <x:f>B29*C29</x:f>
        <x:v>110.00000000000001</x:v>
      </x:c>
      <x:c r="E29" s="194" t="n">
        <x:f>D29/$B$8</x:f>
        <x:v>8.402813162082357</x:v>
      </x:c>
      <x:c r="F29" s="196" t="n">
        <x:f>E29/$B$5</x:f>
        <x:v>0.062243060459869305</x:v>
      </x:c>
      <x:c r="G29" s="194" t="n">
        <x:f>$B$5-E29</x:f>
        <x:v>126.59718683791765</x:v>
      </x:c>
      <x:c r="H29" s="177"/>
      <x:c r="I29" s="177"/>
      <x:c r="J29" s="177"/>
      <x:c r="K29" s="177"/>
      <x:c r="L29" s="177"/>
      <x:c r="M29" s="177"/>
      <x:c r="N29" s="177"/>
    </x:row>
    <x:row r="30">
      <x:c r="A30" s="193" t="str">
        <x:v>EBIT sanity</x:v>
      </x:c>
      <x:c r="B30" s="194" t="n">
        <x:f>$B$14</x:f>
        <x:v>4.4</x:v>
      </x:c>
      <x:c r="C30" s="195" t="n">
        <x:v>35</x:v>
      </x:c>
      <x:c r="D30" s="194" t="n">
        <x:f>B30*C30</x:f>
        <x:v>154</x:v>
      </x:c>
      <x:c r="E30" s="194" t="n">
        <x:f>D30/$B$8</x:f>
        <x:v>11.763938426915297</x:v>
      </x:c>
      <x:c r="F30" s="196" t="n">
        <x:f>E30/$B$5</x:f>
        <x:v>0.08714028464381701</x:v>
      </x:c>
      <x:c r="G30" s="194" t="n">
        <x:f>$B$5-E30</x:f>
        <x:v>123.2360615730847</x:v>
      </x:c>
      <x:c r="H30" s="177"/>
      <x:c r="I30" s="177"/>
      <x:c r="J30" s="177"/>
      <x:c r="K30" s="177"/>
      <x:c r="L30" s="177"/>
      <x:c r="M30" s="177"/>
      <x:c r="N30" s="177"/>
    </x:row>
    <x:row r="31">
      <x:c r="A31" s="177"/>
      <x:c r="B31" s="177"/>
      <x:c r="C31" s="177"/>
      <x:c r="D31" s="177"/>
      <x:c r="E31" s="177"/>
      <x:c r="F31" s="177"/>
      <x:c r="G31" s="177"/>
      <x:c r="H31" s="177"/>
      <x:c r="I31" s="177"/>
      <x:c r="J31" s="177"/>
      <x:c r="K31" s="177"/>
      <x:c r="L31" s="177"/>
      <x:c r="M31" s="177"/>
      <x:c r="N31" s="177"/>
    </x:row>
    <x:row r="32">
      <x:c r="A32" s="177"/>
      <x:c r="B32" s="177"/>
      <x:c r="C32" s="177"/>
      <x:c r="D32" s="177"/>
      <x:c r="E32" s="177"/>
      <x:c r="F32" s="177"/>
      <x:c r="G32" s="177"/>
      <x:c r="H32" s="177"/>
      <x:c r="I32" s="177"/>
      <x:c r="J32" s="177"/>
      <x:c r="K32" s="177"/>
      <x:c r="L32" s="177"/>
      <x:c r="M32" s="177"/>
      <x:c r="N32" s="177"/>
    </x:row>
    <x:row r="33">
      <x:c r="A33" s="191" t="str">
        <x:v>Forward scenarios: formula-only vs EBITDA override</x:v>
      </x:c>
      <x:c r="B33" s="177"/>
      <x:c r="C33" s="177"/>
      <x:c r="D33" s="177"/>
      <x:c r="E33" s="177"/>
      <x:c r="F33" s="177"/>
      <x:c r="G33" s="177"/>
      <x:c r="H33" s="177"/>
      <x:c r="I33" s="177"/>
      <x:c r="J33" s="177"/>
      <x:c r="K33" s="177"/>
      <x:c r="L33" s="177"/>
      <x:c r="M33" s="177"/>
      <x:c r="N33" s="177"/>
    </x:row>
    <x:row r="34">
      <x:c r="A34" s="192" t="str">
        <x:v>Scenario</x:v>
      </x:c>
      <x:c r="B34" s="192" t="str">
        <x:v>Subscribers (M)</x:v>
      </x:c>
      <x:c r="C34" s="192" t="str">
        <x:v>ARPU ($/mo)</x:v>
      </x:c>
      <x:c r="D34" s="192" t="str">
        <x:v>Other Rev ($B)</x:v>
      </x:c>
      <x:c r="E34" s="192" t="str">
        <x:v>EBITDA Margin</x:v>
      </x:c>
      <x:c r="F34" s="192" t="str">
        <x:v>Formula Revenue ($B)</x:v>
      </x:c>
      <x:c r="G34" s="192" t="str">
        <x:v>Formula EBITDA ($B)</x:v>
      </x:c>
      <x:c r="H34" s="192" t="str">
        <x:v>Stated EBITDA Override ($B)</x:v>
      </x:c>
      <x:c r="I34" s="192" t="str">
        <x:v>Multiple (x)</x:v>
      </x:c>
      <x:c r="J34" s="192" t="str">
        <x:v>EBITDA Used ($B)</x:v>
      </x:c>
      <x:c r="K34" s="192" t="str">
        <x:v>EV ($B)</x:v>
      </x:c>
      <x:c r="L34" s="192" t="str">
        <x:v>$/Share</x:v>
      </x:c>
      <x:c r="M34" s="192" t="str">
        <x:v>% of $135</x:v>
      </x:c>
      <x:c r="N34" s="192" t="str">
        <x:v>Check</x:v>
      </x:c>
    </x:row>
    <x:row r="35">
      <x:c r="A35" s="193" t="str">
        <x:v>Current model input</x:v>
      </x:c>
      <x:c r="B35" s="188" t="n">
        <x:v>10.3</x:v>
      </x:c>
      <x:c r="C35" s="187" t="n">
        <x:v>66</x:v>
      </x:c>
      <x:c r="D35" s="187" t="n">
        <x:v>4.2</x:v>
      </x:c>
      <x:c r="E35" s="189" t="n">
        <x:v>0.63</x:v>
      </x:c>
      <x:c r="F35" s="197" t="n">
        <x:f>B35*C35*12/1000+D35</x:f>
        <x:v>12.357600000000001</x:v>
      </x:c>
      <x:c r="G35" s="197" t="n">
        <x:f>F35*E35</x:f>
        <x:v>7.785288000000001</x:v>
      </x:c>
      <x:c r="H35" s="187"/>
      <x:c r="I35" s="190" t="n">
        <x:v>20</x:v>
      </x:c>
      <x:c r="J35" s="197" t="n">
        <x:f>IF(H35="",G35,H35)</x:f>
        <x:v>7.785288000000001</x:v>
      </x:c>
      <x:c r="K35" s="197" t="n">
        <x:f>J35*I35</x:f>
        <x:v>155.70576000000003</x:v>
      </x:c>
      <x:c r="L35" s="197" t="n">
        <x:f>K35/$B$8</x:f>
        <x:v>11.894240086727605</x:v>
      </x:c>
      <x:c r="M35" s="185" t="n">
        <x:f>L35/$B$5</x:f>
        <x:v>0.08810548212390819</x:v>
      </x:c>
      <x:c r="N35" s="81" t="str">
        <x:f>IF(H35="","Formula-only","Override vs formula: "&amp;TEXT(H35-G35,"+0.0;-0.0;0.0")&amp;"B")</x:f>
        <x:v>Formula-only</x:v>
      </x:c>
    </x:row>
    <x:row r="36">
      <x:c r="A36" s="193" t="str">
        <x:v>Forward formula-only</x:v>
      </x:c>
      <x:c r="B36" s="188" t="n">
        <x:v>30</x:v>
      </x:c>
      <x:c r="C36" s="187" t="n">
        <x:v>50</x:v>
      </x:c>
      <x:c r="D36" s="187" t="n">
        <x:v>4.2</x:v>
      </x:c>
      <x:c r="E36" s="189" t="n">
        <x:v>0.63</x:v>
      </x:c>
      <x:c r="F36" s="197" t="n">
        <x:f>B36*C36*12/1000+D36</x:f>
        <x:v>22.2</x:v>
      </x:c>
      <x:c r="G36" s="197" t="n">
        <x:f>F36*E36</x:f>
        <x:v>13.985999999999999</x:v>
      </x:c>
      <x:c r="H36" s="187"/>
      <x:c r="I36" s="190" t="n">
        <x:v>25</x:v>
      </x:c>
      <x:c r="J36" s="197" t="n">
        <x:f>IF(H36="",G36,H36)</x:f>
        <x:v>13.985999999999999</x:v>
      </x:c>
      <x:c r="K36" s="197" t="n">
        <x:f>J36*I36</x:f>
        <x:v>349.65</x:v>
      </x:c>
      <x:c r="L36" s="197" t="n">
        <x:f>K36/$B$8</x:f>
        <x:v>26.709487473837232</x:v>
      </x:c>
      <x:c r="M36" s="185" t="n">
        <x:f>L36/$B$5</x:f>
        <x:v>0.19784805536175729</x:v>
      </x:c>
      <x:c r="N36" s="81" t="str">
        <x:f>IF(H36="","Formula-only","Override vs formula: "&amp;TEXT(H36-G36,"+0.0;-0.0;0.0")&amp;"B")</x:f>
        <x:v>Formula-only</x:v>
      </x:c>
    </x:row>
    <x:row r="37">
      <x:c r="A37" s="193" t="str">
        <x:v>Forward stated EBITDA</x:v>
      </x:c>
      <x:c r="B37" s="188" t="n">
        <x:v>30</x:v>
      </x:c>
      <x:c r="C37" s="187" t="n">
        <x:v>50</x:v>
      </x:c>
      <x:c r="D37" s="187" t="n">
        <x:v>4.2</x:v>
      </x:c>
      <x:c r="E37" s="189" t="n">
        <x:v>0.63</x:v>
      </x:c>
      <x:c r="F37" s="197" t="n">
        <x:f>B37*C37*12/1000+D37</x:f>
        <x:v>22.2</x:v>
      </x:c>
      <x:c r="G37" s="197" t="n">
        <x:f>F37*E37</x:f>
        <x:v>13.985999999999999</x:v>
      </x:c>
      <x:c r="H37" s="187" t="n">
        <x:v>18</x:v>
      </x:c>
      <x:c r="I37" s="190" t="n">
        <x:v>25</x:v>
      </x:c>
      <x:c r="J37" s="197" t="n">
        <x:f>IF(H37="",G37,H37)</x:f>
        <x:v>18</x:v>
      </x:c>
      <x:c r="K37" s="197" t="n">
        <x:f>J37*I37</x:f>
        <x:v>450</x:v>
      </x:c>
      <x:c r="L37" s="197" t="n">
        <x:f>K37/$B$8</x:f>
        <x:v>34.375144753973274</x:v>
      </x:c>
      <x:c r="M37" s="185" t="n">
        <x:f>L37/$B$5</x:f>
        <x:v>0.2546307018812835</x:v>
      </x:c>
      <x:c r="N37" s="81" t="str">
        <x:f>IF(H37="","Formula-only","Override vs formula: "&amp;TEXT(H37-G37,"+0.0;-0.0;0.0")&amp;"B")</x:f>
        <x:v>Override vs formula: +4.0B</x:v>
      </x:c>
    </x:row>
    <x:row r="38">
      <x:c r="A38" s="193" t="str">
        <x:v>Aggressive formula-only</x:v>
      </x:c>
      <x:c r="B38" s="188" t="n">
        <x:v>50</x:v>
      </x:c>
      <x:c r="C38" s="187" t="n">
        <x:v>40</x:v>
      </x:c>
      <x:c r="D38" s="187" t="n">
        <x:v>4.2</x:v>
      </x:c>
      <x:c r="E38" s="189" t="n">
        <x:v>0.63</x:v>
      </x:c>
      <x:c r="F38" s="197" t="n">
        <x:f>B38*C38*12/1000+D38</x:f>
        <x:v>28.2</x:v>
      </x:c>
      <x:c r="G38" s="197" t="n">
        <x:f>F38*E38</x:f>
        <x:v>17.766</x:v>
      </x:c>
      <x:c r="H38" s="187"/>
      <x:c r="I38" s="190" t="n">
        <x:v>25</x:v>
      </x:c>
      <x:c r="J38" s="197" t="n">
        <x:f>IF(H38="",G38,H38)</x:f>
        <x:v>17.766</x:v>
      </x:c>
      <x:c r="K38" s="197" t="n">
        <x:f>J38*I38</x:f>
        <x:v>444.15</x:v>
      </x:c>
      <x:c r="L38" s="197" t="n">
        <x:f>K38/$B$8</x:f>
        <x:v>33.92826787217162</x:v>
      </x:c>
      <x:c r="M38" s="185" t="n">
        <x:f>L38/$B$5</x:f>
        <x:v>0.25132050275682677</x:v>
      </x:c>
      <x:c r="N38" s="81" t="str">
        <x:f>IF(H38="","Formula-only","Override vs formula: "&amp;TEXT(H38-G38,"+0.0;-0.0;0.0")&amp;"B")</x:f>
        <x:v>Formula-only</x:v>
      </x:c>
    </x:row>
    <x:row r="39">
      <x:c r="A39" s="193" t="str">
        <x:v>Aggressive stated EBITDA</x:v>
      </x:c>
      <x:c r="B39" s="188" t="n">
        <x:v>50</x:v>
      </x:c>
      <x:c r="C39" s="187" t="n">
        <x:v>40</x:v>
      </x:c>
      <x:c r="D39" s="187" t="n">
        <x:v>4.2</x:v>
      </x:c>
      <x:c r="E39" s="189" t="n">
        <x:v>0.63</x:v>
      </x:c>
      <x:c r="F39" s="197" t="n">
        <x:f>B39*C39*12/1000+D39</x:f>
        <x:v>28.2</x:v>
      </x:c>
      <x:c r="G39" s="197" t="n">
        <x:f>F39*E39</x:f>
        <x:v>17.766</x:v>
      </x:c>
      <x:c r="H39" s="187" t="n">
        <x:v>25</x:v>
      </x:c>
      <x:c r="I39" s="190" t="n">
        <x:v>25</x:v>
      </x:c>
      <x:c r="J39" s="197" t="n">
        <x:f>IF(H39="",G39,H39)</x:f>
        <x:v>25</x:v>
      </x:c>
      <x:c r="K39" s="197" t="n">
        <x:f>J39*I39</x:f>
        <x:v>625</x:v>
      </x:c>
      <x:c r="L39" s="197" t="n">
        <x:f>K39/$B$8</x:f>
        <x:v>47.74325660274066</x:v>
      </x:c>
      <x:c r="M39" s="185" t="n">
        <x:f>L39/$B$5</x:f>
        <x:v>0.3536537526128938</x:v>
      </x:c>
      <x:c r="N39" s="81" t="str">
        <x:f>IF(H39="","Formula-only","Override vs formula: "&amp;TEXT(H39-G39,"+0.0;-0.0;0.0")&amp;"B")</x:f>
        <x:v>Override vs formula: +7.2B</x:v>
      </x:c>
    </x:row>
    <x:row r="40">
      <x:c r="A40" s="177"/>
      <x:c r="B40" s="177"/>
      <x:c r="C40" s="177"/>
      <x:c r="D40" s="177"/>
      <x:c r="E40" s="177"/>
      <x:c r="F40" s="177"/>
      <x:c r="G40" s="177"/>
      <x:c r="H40" s="177"/>
      <x:c r="I40" s="177"/>
      <x:c r="J40" s="177"/>
      <x:c r="K40" s="177"/>
      <x:c r="L40" s="177"/>
      <x:c r="M40" s="177"/>
      <x:c r="N40" s="177"/>
    </x:row>
    <x:row r="41">
      <x:c r="A41" s="177"/>
      <x:c r="B41" s="177"/>
      <x:c r="C41" s="177"/>
      <x:c r="D41" s="177"/>
      <x:c r="E41" s="177"/>
      <x:c r="F41" s="177"/>
      <x:c r="G41" s="177"/>
      <x:c r="H41" s="177"/>
      <x:c r="I41" s="177"/>
      <x:c r="J41" s="177"/>
      <x:c r="K41" s="177"/>
      <x:c r="L41" s="177"/>
      <x:c r="M41" s="177"/>
      <x:c r="N41" s="177"/>
    </x:row>
    <x:row r="42">
      <x:c r="A42" s="191" t="str">
        <x:v>Bridge needed to make stated EBITDA targets internally consistent</x:v>
      </x:c>
      <x:c r="B42" s="177"/>
      <x:c r="C42" s="177"/>
      <x:c r="D42" s="177"/>
      <x:c r="E42" s="177"/>
      <x:c r="F42" s="177"/>
      <x:c r="G42" s="177"/>
      <x:c r="H42" s="177"/>
      <x:c r="I42" s="177"/>
      <x:c r="J42" s="177"/>
      <x:c r="K42" s="177"/>
      <x:c r="L42" s="177"/>
      <x:c r="M42" s="177"/>
      <x:c r="N42" s="177"/>
    </x:row>
    <x:row r="43">
      <x:c r="A43" s="192" t="str">
        <x:v>Scenario</x:v>
      </x:c>
      <x:c r="B43" s="192" t="str">
        <x:v>Target EBITDA ($B)</x:v>
      </x:c>
      <x:c r="C43" s="192" t="str">
        <x:v>Subscribers (M)</x:v>
      </x:c>
      <x:c r="D43" s="192" t="str">
        <x:v>ARPU ($/mo)</x:v>
      </x:c>
      <x:c r="E43" s="192" t="str">
        <x:v>Consumer Revenue ($B)</x:v>
      </x:c>
      <x:c r="F43" s="192" t="str">
        <x:v>Required margin if other rev fixed</x:v>
      </x:c>
      <x:c r="G43" s="192" t="str">
        <x:v>Required other rev if margin fixed ($B)</x:v>
      </x:c>
      <x:c r="H43" s="177"/>
      <x:c r="I43" s="177"/>
      <x:c r="J43" s="177"/>
      <x:c r="K43" s="177"/>
      <x:c r="L43" s="177"/>
      <x:c r="M43" s="177"/>
      <x:c r="N43" s="177"/>
    </x:row>
    <x:row r="44">
      <x:c r="A44" s="193" t="str">
        <x:v>Forward stated EBITDA</x:v>
      </x:c>
      <x:c r="B44" s="187" t="n">
        <x:v>18</x:v>
      </x:c>
      <x:c r="C44" s="188" t="n">
        <x:v>30</x:v>
      </x:c>
      <x:c r="D44" s="187" t="n">
        <x:v>50</x:v>
      </x:c>
      <x:c r="E44" s="197" t="n">
        <x:f>C44*D44*12/1000</x:f>
        <x:v>18</x:v>
      </x:c>
      <x:c r="F44" s="185" t="n">
        <x:f>B44/(E44+$B$17)</x:f>
        <x:v>0.8108108108108109</x:v>
      </x:c>
      <x:c r="G44" s="197" t="n">
        <x:f>B44/$B$18-E44</x:f>
        <x:v>10.571428571428573</x:v>
      </x:c>
      <x:c r="H44" s="177"/>
      <x:c r="I44" s="177"/>
      <x:c r="J44" s="177"/>
      <x:c r="K44" s="177"/>
      <x:c r="L44" s="177"/>
      <x:c r="M44" s="177"/>
      <x:c r="N44" s="177"/>
    </x:row>
    <x:row r="45">
      <x:c r="A45" s="193" t="str">
        <x:v>Aggressive stated EBITDA</x:v>
      </x:c>
      <x:c r="B45" s="187" t="n">
        <x:v>25</x:v>
      </x:c>
      <x:c r="C45" s="188" t="n">
        <x:v>50</x:v>
      </x:c>
      <x:c r="D45" s="187" t="n">
        <x:v>40</x:v>
      </x:c>
      <x:c r="E45" s="197" t="n">
        <x:f>C45*D45*12/1000</x:f>
        <x:v>24</x:v>
      </x:c>
      <x:c r="F45" s="185" t="n">
        <x:f>B45/(E45+$B$17)</x:f>
        <x:v>0.8865248226950355</x:v>
      </x:c>
      <x:c r="G45" s="197" t="n">
        <x:f>B45/$B$18-E45</x:f>
        <x:v>15.682539682539684</x:v>
      </x:c>
      <x:c r="H45" s="177"/>
      <x:c r="I45" s="177"/>
      <x:c r="J45" s="177"/>
      <x:c r="K45" s="177"/>
      <x:c r="L45" s="177"/>
      <x:c r="M45" s="177"/>
      <x:c r="N45" s="177"/>
    </x:row>
    <x:row r="46">
      <x:c r="A46" s="177"/>
      <x:c r="B46" s="177"/>
      <x:c r="C46" s="177"/>
      <x:c r="D46" s="177"/>
      <x:c r="E46" s="177"/>
      <x:c r="F46" s="177"/>
      <x:c r="G46" s="177"/>
      <x:c r="H46" s="177"/>
      <x:c r="I46" s="177"/>
      <x:c r="J46" s="177"/>
      <x:c r="K46" s="177"/>
      <x:c r="L46" s="177"/>
      <x:c r="M46" s="177"/>
      <x:c r="N46" s="177"/>
    </x:row>
    <x:row r="47">
      <x:c r="A47" s="177"/>
      <x:c r="B47" s="177"/>
      <x:c r="C47" s="177"/>
      <x:c r="D47" s="177"/>
      <x:c r="E47" s="177"/>
      <x:c r="F47" s="177"/>
      <x:c r="G47" s="177"/>
      <x:c r="H47" s="177"/>
      <x:c r="I47" s="177"/>
      <x:c r="J47" s="177"/>
      <x:c r="K47" s="177"/>
      <x:c r="L47" s="177"/>
      <x:c r="M47" s="177"/>
      <x:c r="N47" s="177"/>
    </x:row>
    <x:row r="48">
      <x:c r="A48" s="191" t="str">
        <x:v>Sensitivity: Subscriber × ARPU at 25.0x / 63.0% margin / $4.2B other revenue → $/share</x:v>
      </x:c>
      <x:c r="B48" s="177"/>
      <x:c r="C48" s="177"/>
      <x:c r="D48" s="177"/>
      <x:c r="E48" s="177"/>
      <x:c r="F48" s="177"/>
      <x:c r="G48" s="177"/>
      <x:c r="H48" s="177"/>
      <x:c r="I48" s="177"/>
      <x:c r="J48" s="177"/>
      <x:c r="K48" s="177"/>
      <x:c r="L48" s="177"/>
      <x:c r="M48" s="177"/>
      <x:c r="N48" s="177"/>
    </x:row>
    <x:row r="49">
      <x:c r="A49" s="198" t="str">
        <x:v>Subs (M) \ ARPU</x:v>
      </x:c>
      <x:c r="B49" s="198" t="n">
        <x:v>31</x:v>
      </x:c>
      <x:c r="C49" s="198" t="n">
        <x:v>40</x:v>
      </x:c>
      <x:c r="D49" s="198" t="n">
        <x:v>50</x:v>
      </x:c>
      <x:c r="E49" s="198" t="n">
        <x:v>66</x:v>
      </x:c>
      <x:c r="F49" s="198" t="n">
        <x:v>80</x:v>
      </x:c>
      <x:c r="G49" s="177"/>
      <x:c r="H49" s="177"/>
      <x:c r="I49" s="177"/>
      <x:c r="J49" s="177"/>
      <x:c r="K49" s="177"/>
      <x:c r="L49" s="177"/>
      <x:c r="M49" s="177"/>
      <x:c r="N49" s="177"/>
    </x:row>
    <x:row r="50">
      <x:c r="A50" s="199" t="n">
        <x:v>10</x:v>
      </x:c>
      <x:c r="B50" s="194" t="n">
        <x:f>(($A50*B$49*12/1000+$B$17)*$B$18*$B$20)/$B$8</x:f>
        <x:v>9.528790125801391</x:v>
      </x:c>
      <x:c r="C50" s="194" t="n">
        <x:f>(($A50*C$49*12/1000+$B$17)*$B$18*$B$20)/$B$8</x:f>
        <x:v>10.82817059750158</x:v>
      </x:c>
      <x:c r="D50" s="194" t="n">
        <x:f>(($A50*D$49*12/1000+$B$17)*$B$18*$B$20)/$B$8</x:f>
        <x:v>12.271926677168457</x:v>
      </x:c>
      <x:c r="E50" s="194" t="n">
        <x:f>(($A50*E$49*12/1000+$B$17)*$B$18*$B$20)/$B$8</x:f>
        <x:v>14.581936404635464</x:v>
      </x:c>
      <x:c r="F50" s="194" t="n">
        <x:f>(($A50*F$49*12/1000+$B$17)*$B$18*$B$20)/$B$8</x:f>
        <x:v>16.60319491616909</x:v>
      </x:c>
      <x:c r="G50" s="177"/>
      <x:c r="H50" s="177"/>
      <x:c r="I50" s="177"/>
      <x:c r="J50" s="177"/>
      <x:c r="K50" s="177"/>
      <x:c r="L50" s="177"/>
      <x:c r="M50" s="177"/>
      <x:c r="N50" s="177"/>
    </x:row>
    <x:row r="51">
      <x:c r="A51" s="199" t="n">
        <x:v>20</x:v>
      </x:c>
      <x:c r="B51" s="194" t="n">
        <x:f>(($A51*B$49*12/1000+$B$17)*$B$18*$B$20)/$B$8</x:f>
        <x:v>14.004433972768712</x:v>
      </x:c>
      <x:c r="C51" s="194" t="n">
        <x:f>(($A51*C$49*12/1000+$B$17)*$B$18*$B$20)/$B$8</x:f>
        <x:v>16.60319491616909</x:v>
      </x:c>
      <x:c r="D51" s="194" t="n">
        <x:f>(($A51*D$49*12/1000+$B$17)*$B$18*$B$20)/$B$8</x:f>
        <x:v>19.490707075502844</x:v>
      </x:c>
      <x:c r="E51" s="194" t="n">
        <x:f>(($A51*E$49*12/1000+$B$17)*$B$18*$B$20)/$B$8</x:f>
        <x:v>24.110726530436853</x:v>
      </x:c>
      <x:c r="F51" s="194" t="n">
        <x:f>(($A51*F$49*12/1000+$B$17)*$B$18*$B$20)/$B$8</x:f>
        <x:v>28.153243553504108</x:v>
      </x:c>
      <x:c r="G51" s="177"/>
      <x:c r="H51" s="177"/>
      <x:c r="I51" s="177"/>
      <x:c r="J51" s="177"/>
      <x:c r="K51" s="177"/>
      <x:c r="L51" s="177"/>
      <x:c r="M51" s="177"/>
      <x:c r="N51" s="177"/>
    </x:row>
    <x:row r="52">
      <x:c r="A52" s="199" t="n">
        <x:v>30</x:v>
      </x:c>
      <x:c r="B52" s="194" t="n">
        <x:f>(($A52*B$49*12/1000+$B$17)*$B$18*$B$20)/$B$8</x:f>
        <x:v>18.48007781973603</x:v>
      </x:c>
      <x:c r="C52" s="194" t="n">
        <x:f>(($A52*C$49*12/1000+$B$17)*$B$18*$B$20)/$B$8</x:f>
        <x:v>22.378219234836603</x:v>
      </x:c>
      <x:c r="D52" s="194" t="n">
        <x:f>(($A52*D$49*12/1000+$B$17)*$B$18*$B$20)/$B$8</x:f>
        <x:v>26.709487473837232</x:v>
      </x:c>
      <x:c r="E52" s="194" t="n">
        <x:f>(($A52*E$49*12/1000+$B$17)*$B$18*$B$20)/$B$8</x:f>
        <x:v>33.63951665623824</x:v>
      </x:c>
      <x:c r="F52" s="194" t="n">
        <x:f>(($A52*F$49*12/1000+$B$17)*$B$18*$B$20)/$B$8</x:f>
        <x:v>39.70329219083913</x:v>
      </x:c>
      <x:c r="G52" s="177"/>
      <x:c r="H52" s="177"/>
      <x:c r="I52" s="177"/>
      <x:c r="J52" s="177"/>
      <x:c r="K52" s="177"/>
      <x:c r="L52" s="177"/>
      <x:c r="M52" s="177"/>
      <x:c r="N52" s="177"/>
    </x:row>
    <x:row r="53">
      <x:c r="A53" s="199" t="n">
        <x:v>40</x:v>
      </x:c>
      <x:c r="B53" s="194" t="n">
        <x:f>(($A53*B$49*12/1000+$B$17)*$B$18*$B$20)/$B$8</x:f>
        <x:v>22.95572166670335</x:v>
      </x:c>
      <x:c r="C53" s="194" t="n">
        <x:f>(($A53*C$49*12/1000+$B$17)*$B$18*$B$20)/$B$8</x:f>
        <x:v>28.153243553504108</x:v>
      </x:c>
      <x:c r="D53" s="194" t="n">
        <x:f>(($A53*D$49*12/1000+$B$17)*$B$18*$B$20)/$B$8</x:f>
        <x:v>33.92826787217162</x:v>
      </x:c>
      <x:c r="E53" s="194" t="n">
        <x:f>(($A53*E$49*12/1000+$B$17)*$B$18*$B$20)/$B$8</x:f>
        <x:v>43.168306782039636</x:v>
      </x:c>
      <x:c r="F53" s="194" t="n">
        <x:f>(($A53*F$49*12/1000+$B$17)*$B$18*$B$20)/$B$8</x:f>
        <x:v>51.25334082817415</x:v>
      </x:c>
      <x:c r="G53" s="177"/>
      <x:c r="H53" s="177"/>
      <x:c r="I53" s="177"/>
      <x:c r="J53" s="177"/>
      <x:c r="K53" s="177"/>
      <x:c r="L53" s="177"/>
      <x:c r="M53" s="177"/>
      <x:c r="N53" s="177"/>
    </x:row>
    <x:row r="54">
      <x:c r="A54" s="199" t="n">
        <x:v>50</x:v>
      </x:c>
      <x:c r="B54" s="194" t="n">
        <x:f>(($A54*B$49*12/1000+$B$17)*$B$18*$B$20)/$B$8</x:f>
        <x:v>27.431365513670674</x:v>
      </x:c>
      <x:c r="C54" s="194" t="n">
        <x:f>(($A54*C$49*12/1000+$B$17)*$B$18*$B$20)/$B$8</x:f>
        <x:v>33.92826787217162</x:v>
      </x:c>
      <x:c r="D54" s="194" t="n">
        <x:f>(($A54*D$49*12/1000+$B$17)*$B$18*$B$20)/$B$8</x:f>
        <x:v>41.14704827050601</x:v>
      </x:c>
      <x:c r="E54" s="194" t="n">
        <x:f>(($A54*E$49*12/1000+$B$17)*$B$18*$B$20)/$B$8</x:f>
        <x:v>52.69709690784103</x:v>
      </x:c>
      <x:c r="F54" s="194" t="n">
        <x:f>(($A54*F$49*12/1000+$B$17)*$B$18*$B$20)/$B$8</x:f>
        <x:v>62.80338946550918</x:v>
      </x:c>
      <x:c r="G54" s="177"/>
      <x:c r="H54" s="177"/>
      <x:c r="I54" s="177"/>
      <x:c r="J54" s="177"/>
      <x:c r="K54" s="177"/>
      <x:c r="L54" s="177"/>
      <x:c r="M54" s="177"/>
      <x:c r="N54" s="177"/>
    </x:row>
    <x:row r="55">
      <x:c r="A55" s="177"/>
      <x:c r="B55" s="177"/>
      <x:c r="C55" s="177"/>
      <x:c r="D55" s="177"/>
      <x:c r="E55" s="177"/>
      <x:c r="F55" s="177"/>
      <x:c r="G55" s="177"/>
      <x:c r="H55" s="177"/>
      <x:c r="I55" s="177"/>
      <x:c r="J55" s="177"/>
      <x:c r="K55" s="177"/>
      <x:c r="L55" s="177"/>
      <x:c r="M55" s="177"/>
      <x:c r="N55" s="177"/>
    </x:row>
    <x:row r="56">
      <x:c r="A56" s="177"/>
      <x:c r="B56" s="177"/>
      <x:c r="C56" s="177"/>
      <x:c r="D56" s="177"/>
      <x:c r="E56" s="177"/>
      <x:c r="F56" s="177"/>
      <x:c r="G56" s="177"/>
      <x:c r="H56" s="177"/>
      <x:c r="I56" s="177"/>
      <x:c r="J56" s="177"/>
      <x:c r="K56" s="177"/>
      <x:c r="L56" s="177"/>
      <x:c r="M56" s="177"/>
      <x:c r="N56" s="177"/>
    </x:row>
    <x:row r="57">
      <x:c r="A57" s="177"/>
      <x:c r="B57" s="177"/>
      <x:c r="C57" s="177"/>
      <x:c r="D57" s="177"/>
      <x:c r="E57" s="177"/>
      <x:c r="F57" s="177"/>
      <x:c r="G57" s="177"/>
      <x:c r="H57" s="177"/>
      <x:c r="I57" s="177"/>
      <x:c r="J57" s="177"/>
      <x:c r="K57" s="177"/>
      <x:c r="L57" s="177"/>
      <x:c r="M57" s="177"/>
      <x:c r="N57" s="177"/>
    </x:row>
    <x:row r="58">
      <x:c r="A58" s="177"/>
      <x:c r="B58" s="177"/>
      <x:c r="C58" s="177"/>
      <x:c r="D58" s="177"/>
      <x:c r="E58" s="177"/>
      <x:c r="F58" s="177"/>
      <x:c r="G58" s="177"/>
      <x:c r="H58" s="177"/>
      <x:c r="I58" s="177"/>
      <x:c r="J58" s="177"/>
      <x:c r="K58" s="177"/>
      <x:c r="L58" s="177"/>
      <x:c r="M58" s="177"/>
      <x:c r="N58" s="177"/>
    </x:row>
    <x:row r="59">
      <x:c r="A59" s="177"/>
      <x:c r="B59" s="177"/>
      <x:c r="C59" s="177"/>
      <x:c r="D59" s="177"/>
      <x:c r="E59" s="177"/>
      <x:c r="F59" s="177"/>
      <x:c r="G59" s="177"/>
      <x:c r="H59" s="177"/>
      <x:c r="I59" s="177"/>
      <x:c r="J59" s="177"/>
      <x:c r="K59" s="177"/>
      <x:c r="L59" s="177"/>
      <x:c r="M59" s="177"/>
      <x:c r="N59" s="177"/>
    </x:row>
    <x:row r="60">
      <x:c r="A60" s="177"/>
      <x:c r="B60" s="177"/>
      <x:c r="C60" s="177"/>
      <x:c r="D60" s="177"/>
      <x:c r="E60" s="177"/>
      <x:c r="F60" s="177"/>
      <x:c r="G60" s="177"/>
      <x:c r="H60" s="177"/>
      <x:c r="I60" s="177"/>
      <x:c r="J60" s="177"/>
      <x:c r="K60" s="177"/>
      <x:c r="L60" s="177"/>
      <x:c r="M60" s="177"/>
      <x:c r="N60" s="177"/>
    </x:row>
  </x:sheetData>
  <x:mergeCells>
    <x:mergeCell ref="A1:N1"/>
    <x:mergeCell ref="A2:N2"/>
    <x:mergeCell ref="A23:G23"/>
    <x:mergeCell ref="A33:N33"/>
    <x:mergeCell ref="A42:G42"/>
    <x:mergeCell ref="A48:F48"/>
  </x:mergeCells>
  <x:conditionalFormatting sqref="B50:F54">
    <x:cfRule type="colorScale" priority="1">
      <x:colorScale>
        <x:cfvo type="min"/>
        <x:cfvo type="percentile" val="50"/>
        <x:cfvo type="max"/>
        <x:color rgb="FCE4D6"/>
        <x:color rgb="FFF2CC"/>
        <x:color rgb="D9EAD3"/>
      </x:colorScale>
    </x:cfRule>
  </x:conditionalFormatting>
  <x:pageMargins left="0.7" right="0.7" top="0.75" bottom="0.75" header="0.3" footer="0.3"/>
  <x:drawing xmlns:r="http://schemas.openxmlformats.org/officeDocument/2006/relationships" r:id="Rc1254df51a684ed2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54" hidden="0" customWidth="1"/>
    <x:col min="4" max="4" width="44" hidden="0" customWidth="1"/>
    <x:col min="5" max="5" width="42" hidden="0" customWidth="1"/>
    <x:col min="6" max="6" width="12" hidden="0" customWidth="1"/>
  </x:cols>
  <x:sheetData>
    <x:row r="1">
      <x:c r="A1" s="84" t="str">
        <x:v>SPCX — Calendar / Lock-up Audit</x:v>
      </x:c>
      <x:c r="B1"/>
      <x:c r="C1"/>
      <x:c r="D1"/>
      <x:c r="E1"/>
      <x:c r="F1"/>
    </x:row>
    <x:row r="2">
      <x:c r="A2" s="88" t="str">
        <x:v>Trading-day math is separated from lock-up facts. Assumption: first trading day = 2026-06-12.</x:v>
      </x:c>
      <x:c r="B2"/>
      <x:c r="C2"/>
      <x:c r="D2"/>
      <x:c r="E2"/>
      <x:c r="F2"/>
    </x:row>
    <x:row r="4">
      <x:c r="A4" s="106" t="str">
        <x:v>Assumption / Output</x:v>
      </x:c>
      <x:c r="B4" s="106" t="str">
        <x:v>Date</x:v>
      </x:c>
      <x:c r="C4" s="106" t="str">
        <x:v>Formula / Note</x:v>
      </x:c>
      <x:c r="D4" s="106" t="str">
        <x:v>Source</x:v>
      </x:c>
    </x:row>
    <x:row r="5">
      <x:c r="A5" s="96" t="str">
        <x:v>First trading day</x:v>
      </x:c>
      <x:c r="B5" s="228" t="n">
        <x:v>46185</x:v>
      </x:c>
      <x:c r="C5" s="100" t="str">
        <x:v>Assumption from IPO timing</x:v>
      </x:c>
      <x:c r="D5" s="100" t="str">
        <x:v>Reuters / FWP timing</x:v>
      </x:c>
    </x:row>
    <x:row r="6">
      <x:c r="A6" s="96" t="str">
        <x:v>Juneteenth market holiday</x:v>
      </x:c>
      <x:c r="B6" s="228" t="n">
        <x:v>46192</x:v>
      </x:c>
      <x:c r="C6" s="100" t="str">
        <x:v>Closed</x:v>
      </x:c>
      <x:c r="D6" s="100" t="str">
        <x:v>Nasdaq holiday schedule</x:v>
      </x:c>
    </x:row>
    <x:row r="7">
      <x:c r="A7" s="96" t="str">
        <x:v>Independence Day observed holiday</x:v>
      </x:c>
      <x:c r="B7" s="228" t="n">
        <x:v>46206</x:v>
      </x:c>
      <x:c r="C7" s="100" t="str">
        <x:v>Closed</x:v>
      </x:c>
      <x:c r="D7" s="100" t="str">
        <x:v>Nasdaq holiday schedule</x:v>
      </x:c>
    </x:row>
    <x:row r="8">
      <x:c r="A8" s="96" t="str">
        <x:v>10th trading day</x:v>
      </x:c>
      <x:c r="B8" s="229" t="n">
        <x:f>WORKDAY.INTL(B5,9,1,$B$6:$B$7)</x:f>
        <x:v>46199</x:v>
      </x:c>
      <x:c r="C8" s="100" t="str">
        <x:v>Formula in B8: WORKDAY.INTL(B5,9,1,$B$6:$B$7)</x:v>
      </x:c>
      <x:c r="D8" s="100" t="str">
        <x:v>Nasdaq methodology: announcement after 10th trading day</x:v>
      </x:c>
    </x:row>
    <x:row r="9">
      <x:c r="A9" s="96" t="str">
        <x:v>15th trading day</x:v>
      </x:c>
      <x:c r="B9" s="229" t="n">
        <x:f>WORKDAY.INTL(B5,14,1,$B$6:$B$7)</x:f>
        <x:v>46209</x:v>
      </x:c>
      <x:c r="C9" s="100" t="str">
        <x:v>Formula in B9: WORKDAY.INTL(B5,14,1,$B$6:$B$7)</x:v>
      </x:c>
      <x:c r="D9" s="100" t="str">
        <x:v>Nasdaq methodology: added after 15 trading days</x:v>
      </x:c>
    </x:row>
    <x:row r="10">
      <x:c r="A10" s="96" t="str">
        <x:v>90th calendar day</x:v>
      </x:c>
      <x:c r="B10" s="229" t="n">
        <x:f>B5+90</x:f>
        <x:v>46275</x:v>
      </x:c>
      <x:c r="C10" s="100" t="str">
        <x:v>Formula in B10: B5+90</x:v>
      </x:c>
      <x:c r="D10" s="100" t="str">
        <x:v>Rule 144 reference in FWP; still subject to lock-up</x:v>
      </x:c>
    </x:row>
    <x:row r="11">
      <x:c r="A11" s="96" t="str">
        <x:v>180th calendar day</x:v>
      </x:c>
      <x:c r="B11" s="229" t="n">
        <x:f>B5+180</x:f>
        <x:v>46365</x:v>
      </x:c>
      <x:c r="C11" s="100" t="str">
        <x:v>Formula in B11: B5+180</x:v>
      </x:c>
      <x:c r="D11" s="100" t="str">
        <x:v>Standard 180-day lock-up endpoint</x:v>
      </x:c>
    </x:row>
    <x:row r="12">
      <x:c r="A12" s="96" t="str">
        <x:v>366th calendar day</x:v>
      </x:c>
      <x:c r="B12" s="229" t="n">
        <x:f>B5+366</x:f>
        <x:v>46551</x:v>
      </x:c>
      <x:c r="C12" s="100" t="str">
        <x:v>Formula in B12: B5+366</x:v>
      </x:c>
      <x:c r="D12" s="100" t="str">
        <x:v>Musk 366-day lock-up</x:v>
      </x:c>
    </x:row>
    <x:row r="15">
      <x:c r="A15" s="71" t="str">
        <x:v>Recommended lock-up / index timeline language</x:v>
      </x:c>
      <x:c r="B15"/>
      <x:c r="C15"/>
      <x:c r="D15"/>
      <x:c r="E15"/>
      <x:c r="F15"/>
    </x:row>
    <x:row r="16">
      <x:c r="A16" s="154" t="str">
        <x:v>Event</x:v>
      </x:c>
      <x:c r="B16" s="154" t="str">
        <x:v>Old / uploaded model</x:v>
      </x:c>
      <x:c r="C16" s="154" t="str">
        <x:v>Reviewed date / language</x:v>
      </x:c>
      <x:c r="D16" s="154" t="str">
        <x:v>Risk / Interpretation</x:v>
      </x:c>
      <x:c r="E16" s="154" t="str">
        <x:v>Action item</x:v>
      </x:c>
      <x:c r="F16" s="154" t="str">
        <x:v>Severity</x:v>
      </x:c>
    </x:row>
    <x:row r="17">
      <x:c r="A17" s="81" t="str">
        <x:v>Nasdaq-100 fast entry</x:v>
      </x:c>
      <x:c r="B17" s="81" t="str">
        <x:v>~2026-06-27 (Day 15)</x:v>
      </x:c>
      <x:c r="C17" s="81" t="str">
        <x:v>Use 15 trading days; formula output above. Expected 15th trading day = 2026-07-06 under current holiday assumptions.</x:v>
      </x:c>
      <x:c r="D17" s="81" t="str">
        <x:v>Index-buying timing could be off by about one week if calendar days are used.</x:v>
      </x:c>
      <x:c r="E17" s="81" t="str">
        <x:v>Replace calendar-day wording with trading-day wording.</x:v>
      </x:c>
      <x:c r="F17" s="110" t="str">
        <x:v>Medium</x:v>
      </x:c>
    </x:row>
    <x:row r="18">
      <x:c r="A18" s="81" t="str">
        <x:v>Rule 144</x:v>
      </x:c>
      <x:c r="B18" s="81" t="str">
        <x:v>~2026-09 (Day 90)</x:v>
      </x:c>
      <x:c r="C18" s="81" t="str">
        <x:v>90 calendar days after IPO date; still subject to lock-up.</x:v>
      </x:c>
      <x:c r="D18" s="81" t="str">
        <x:v>Rule 144 availability is not the same as actual free trading if lock-up remains.</x:v>
      </x:c>
      <x:c r="E18" s="81" t="str">
        <x:v>Keep as note, not sale trigger.</x:v>
      </x:c>
      <x:c r="F18" s="110" t="str">
        <x:v>Medium</x:v>
      </x:c>
    </x:row>
    <x:row r="19">
      <x:c r="A19" s="81" t="str">
        <x:v>180-day lock-up bucket</x:v>
      </x:c>
      <x:c r="B19" s="81" t="str">
        <x:v>~2026-12-09</x:v>
      </x:c>
      <x:c r="C19" s="81" t="str">
        <x:v>180 calendar days after IPO date; staged early releases may start after Q2 2026 earnings for 'all other shares'.</x:v>
      </x:c>
      <x:c r="D19" s="81" t="str">
        <x:v>Actual tradable amount depends on final lock-up schedule.</x:v>
      </x:c>
      <x:c r="E19" s="81" t="str">
        <x:v>Add 'subject to final prospectus and waiver' wording.</x:v>
      </x:c>
      <x:c r="F19" s="108" t="str">
        <x:v>High</x:v>
      </x:c>
    </x:row>
    <x:row r="20">
      <x:c r="A20" s="81" t="str">
        <x:v>Musk / select lock-up</x:v>
      </x:c>
      <x:c r="B20" s="81" t="str">
        <x:v>~2027-06-13 / Q2 2027</x:v>
      </x:c>
      <x:c r="C20" s="81" t="str">
        <x:v>Musk: 366-day lock-up; select bucket release starts after Q4 2026 earnings through Q2 2027 earnings.</x:v>
      </x:c>
      <x:c r="D20" s="81" t="str">
        <x:v>Do not treat all 7.8B shares as one cliff on one date.</x:v>
      </x:c>
      <x:c r="E20" s="81" t="str">
        <x:v>Break into staged release bands once final prospectus gives percentages.</x:v>
      </x:c>
      <x:c r="F20" s="108" t="str">
        <x:v>High</x:v>
      </x:c>
    </x:row>
  </x:sheetData>
  <x:mergeCells>
    <x:mergeCell ref="A1:F1"/>
    <x:mergeCell ref="A2:F2"/>
    <x:mergeCell ref="A15:F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58" hidden="0" customWidth="1"/>
  </x:cols>
  <x:sheetData>
    <x:row r="1">
      <x:c r="A1" s="80" t="str">
        <x:v>Source</x:v>
      </x:c>
      <x:c r="B1" s="80" t="str">
        <x:v>URL</x:v>
      </x:c>
      <x:c r="C1" s="80" t="str">
        <x:v>Used for</x:v>
      </x:c>
    </x:row>
    <x:row r="2">
      <x:c r="A2" s="81" t="str">
        <x:v>SEC FWP / Roadshow / S-1/A excerpts</x:v>
      </x:c>
      <x:c r="B2" s="81" t="str">
        <x:v>https://www.sec.gov/Archives/edgar/data/1181412/000162828026040610/spacexfwp.htm</x:v>
      </x:c>
      <x:c r="C2" s="81" t="str">
        <x:v>Offering terms, share counts, segment EBITDA/EBIT, lock-up language, registration rights</x:v>
      </x:c>
    </x:row>
    <x:row r="3">
      <x:c r="A3" s="81" t="str">
        <x:v>Nasdaq-100 Index Methodology Changes FAQ</x:v>
      </x:c>
      <x:c r="B3" s="81" t="str">
        <x:v>https://indexes.nasdaqomx.com/docs/2026_May_NDX_Changes_FAQ.pdf</x:v>
      </x:c>
      <x:c r="C3" s="81" t="str">
        <x:v>Fast-entry timing: eligible candidates may be added after 15 trading days</x:v>
      </x:c>
    </x:row>
    <x:row r="4">
      <x:c r="A4" s="81" t="str">
        <x:v>Nasdaq Stock Market Holiday Schedule</x:v>
      </x:c>
      <x:c r="B4" s="81" t="str">
        <x:v>https://www.nasdaq.com/market-activity/stock-market-holiday-schedule</x:v>
      </x:c>
      <x:c r="C4" s="81" t="str">
        <x:v>2026 market holidays: Juneteenth June 19, Independence Day observed July 3</x:v>
      </x:c>
    </x:row>
    <x:row r="5">
      <x:c r="A5" s="81" t="str">
        <x:v>Reuters IPO report</x:v>
      </x:c>
      <x:c r="B5" s="81" t="str">
        <x:v>https://www.reuters.com/business/media-telecom/spacex-plans-raise-75-billion-ipo-135-per-share-source-says-2026-06-03/</x:v>
      </x:c>
      <x:c r="C5" s="81" t="str">
        <x:v>Cross-check on IPO price, listing timing and market context</x:v>
      </x:c>
    </x:row>
  </x:sheetData>
  <x:pageMargins left="0.7" right="0.7" top="0.75" bottom="0.75" header="0.3" footer="0.3"/>
</x:worksheet>
</file>